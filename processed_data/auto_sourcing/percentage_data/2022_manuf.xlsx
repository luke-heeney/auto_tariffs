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713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lukeheeney/Documents/CEEPR/EV_IO/code/data/auto_sourcing/Re_ [CEEPR UROP] Electric Vehicle characteristics /"/>
    </mc:Choice>
  </mc:AlternateContent>
  <xr:revisionPtr revIDLastSave="0" documentId="13_ncr:9_{410ADDFE-1F5D-B541-9C1F-C63D9791D449}" xr6:coauthVersionLast="47" xr6:coauthVersionMax="47" xr10:uidLastSave="{00000000-0000-0000-0000-000000000000}"/>
  <bookViews>
    <workbookView xWindow="0" yWindow="740" windowWidth="30240" windowHeight="18900" xr2:uid="{822CEEC4-1AA4-9E4A-9272-93AAE5031AD5}"/>
  </bookViews>
  <sheets>
    <sheet name="2022_manuf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E465" i="1" l="1"/>
  <c r="F465" i="1"/>
  <c r="E466" i="1"/>
  <c r="F466" i="1"/>
  <c r="E467" i="1"/>
  <c r="F467" i="1"/>
  <c r="E468" i="1"/>
  <c r="F468" i="1"/>
  <c r="E469" i="1"/>
  <c r="F469" i="1"/>
  <c r="E470" i="1"/>
  <c r="F470" i="1"/>
  <c r="E471" i="1"/>
  <c r="F471" i="1"/>
  <c r="E472" i="1"/>
  <c r="F472" i="1"/>
  <c r="E473" i="1"/>
  <c r="F473" i="1"/>
  <c r="E474" i="1"/>
  <c r="F474" i="1"/>
  <c r="E475" i="1"/>
  <c r="F475" i="1"/>
  <c r="E476" i="1"/>
  <c r="F476" i="1"/>
  <c r="E477" i="1"/>
  <c r="F477" i="1"/>
  <c r="E478" i="1"/>
  <c r="F478" i="1"/>
  <c r="E479" i="1"/>
  <c r="F479" i="1"/>
  <c r="E480" i="1"/>
  <c r="F480" i="1"/>
  <c r="E481" i="1"/>
  <c r="F481" i="1"/>
  <c r="E482" i="1"/>
  <c r="F482" i="1"/>
  <c r="E483" i="1"/>
  <c r="F483" i="1"/>
  <c r="E484" i="1"/>
  <c r="F484" i="1"/>
  <c r="E485" i="1"/>
  <c r="F485" i="1"/>
  <c r="E486" i="1"/>
  <c r="F486" i="1"/>
  <c r="E487" i="1"/>
  <c r="F487" i="1"/>
  <c r="E488" i="1"/>
  <c r="F488" i="1"/>
  <c r="E489" i="1"/>
  <c r="F489" i="1"/>
  <c r="E490" i="1"/>
  <c r="F490" i="1"/>
  <c r="E491" i="1"/>
  <c r="F491" i="1"/>
  <c r="E492" i="1"/>
  <c r="F492" i="1"/>
  <c r="E493" i="1"/>
  <c r="F493" i="1"/>
  <c r="E494" i="1"/>
  <c r="F494" i="1"/>
  <c r="E495" i="1"/>
  <c r="F495" i="1"/>
  <c r="E496" i="1"/>
  <c r="F496" i="1"/>
  <c r="E497" i="1"/>
  <c r="F497" i="1"/>
  <c r="E498" i="1"/>
  <c r="F498" i="1"/>
  <c r="E499" i="1"/>
  <c r="F499" i="1"/>
  <c r="E500" i="1"/>
  <c r="F500" i="1"/>
  <c r="E501" i="1"/>
  <c r="F501" i="1"/>
  <c r="E502" i="1"/>
  <c r="F502" i="1"/>
  <c r="E503" i="1"/>
  <c r="F503" i="1"/>
  <c r="E504" i="1"/>
  <c r="F504" i="1"/>
  <c r="E505" i="1"/>
  <c r="F505" i="1"/>
  <c r="E506" i="1"/>
  <c r="F506" i="1"/>
  <c r="E507" i="1"/>
  <c r="F507" i="1"/>
  <c r="E508" i="1"/>
  <c r="F508" i="1"/>
  <c r="E509" i="1"/>
  <c r="F509" i="1"/>
  <c r="E510" i="1"/>
  <c r="F510" i="1"/>
  <c r="E511" i="1"/>
  <c r="F511" i="1"/>
  <c r="E512" i="1"/>
  <c r="F512" i="1"/>
  <c r="E513" i="1"/>
  <c r="F513" i="1"/>
  <c r="E514" i="1"/>
  <c r="F514" i="1"/>
  <c r="E515" i="1"/>
  <c r="F515" i="1"/>
  <c r="E516" i="1"/>
  <c r="F516" i="1"/>
  <c r="E517" i="1"/>
  <c r="F517" i="1"/>
  <c r="E518" i="1"/>
  <c r="F518" i="1"/>
  <c r="E519" i="1"/>
  <c r="F519" i="1"/>
  <c r="E520" i="1"/>
  <c r="F520" i="1"/>
  <c r="E521" i="1"/>
  <c r="F521" i="1"/>
  <c r="E522" i="1"/>
  <c r="F522" i="1"/>
  <c r="E523" i="1"/>
  <c r="F523" i="1"/>
  <c r="E524" i="1"/>
  <c r="F524" i="1"/>
  <c r="E525" i="1"/>
  <c r="F525" i="1"/>
  <c r="E526" i="1"/>
  <c r="F526" i="1"/>
  <c r="E527" i="1"/>
  <c r="F527" i="1"/>
  <c r="E528" i="1"/>
  <c r="F528" i="1"/>
  <c r="E529" i="1"/>
  <c r="F529" i="1"/>
  <c r="E530" i="1"/>
  <c r="F530" i="1"/>
  <c r="E531" i="1"/>
  <c r="F531" i="1"/>
  <c r="E532" i="1"/>
  <c r="F532" i="1"/>
  <c r="E533" i="1"/>
  <c r="F533" i="1"/>
  <c r="E534" i="1"/>
  <c r="F534" i="1"/>
  <c r="E535" i="1"/>
  <c r="F535" i="1"/>
  <c r="E536" i="1"/>
  <c r="F536" i="1"/>
  <c r="E537" i="1"/>
  <c r="F537" i="1"/>
  <c r="E538" i="1"/>
  <c r="F538" i="1"/>
  <c r="E539" i="1"/>
  <c r="F539" i="1"/>
  <c r="E540" i="1"/>
  <c r="F540" i="1"/>
  <c r="E541" i="1"/>
  <c r="F541" i="1"/>
  <c r="E542" i="1"/>
  <c r="F542" i="1"/>
  <c r="E543" i="1"/>
  <c r="F543" i="1"/>
  <c r="E544" i="1"/>
  <c r="F544" i="1"/>
  <c r="E545" i="1"/>
  <c r="F545" i="1"/>
  <c r="E546" i="1"/>
  <c r="F546" i="1"/>
  <c r="E547" i="1"/>
  <c r="F547" i="1"/>
  <c r="E548" i="1"/>
  <c r="F548" i="1"/>
  <c r="E549" i="1"/>
  <c r="F549" i="1"/>
  <c r="E550" i="1"/>
  <c r="F550" i="1"/>
  <c r="E551" i="1"/>
  <c r="F551" i="1"/>
  <c r="E552" i="1"/>
  <c r="F552" i="1"/>
  <c r="E553" i="1"/>
  <c r="F553" i="1"/>
  <c r="E554" i="1"/>
  <c r="F554" i="1"/>
  <c r="E555" i="1"/>
  <c r="F555" i="1"/>
  <c r="E556" i="1"/>
  <c r="F556" i="1"/>
  <c r="E557" i="1"/>
  <c r="F557" i="1"/>
  <c r="E558" i="1"/>
  <c r="F558" i="1"/>
  <c r="E559" i="1"/>
  <c r="F559" i="1"/>
  <c r="E560" i="1"/>
  <c r="F560" i="1"/>
  <c r="E561" i="1"/>
  <c r="F561" i="1"/>
  <c r="E562" i="1"/>
  <c r="F562" i="1"/>
  <c r="E563" i="1"/>
  <c r="F563" i="1"/>
  <c r="E564" i="1"/>
  <c r="F564" i="1"/>
  <c r="E565" i="1"/>
  <c r="F565" i="1"/>
  <c r="E566" i="1"/>
  <c r="F566" i="1"/>
  <c r="E567" i="1"/>
  <c r="F567" i="1"/>
  <c r="E568" i="1"/>
  <c r="F568" i="1"/>
  <c r="E569" i="1"/>
  <c r="F569" i="1"/>
  <c r="E570" i="1"/>
  <c r="F570" i="1"/>
  <c r="E571" i="1"/>
  <c r="F571" i="1"/>
  <c r="E572" i="1"/>
  <c r="F572" i="1"/>
  <c r="E573" i="1"/>
  <c r="F573" i="1"/>
  <c r="E574" i="1"/>
  <c r="F574" i="1"/>
  <c r="E575" i="1"/>
  <c r="F575" i="1"/>
  <c r="E576" i="1"/>
  <c r="F576" i="1"/>
  <c r="E577" i="1"/>
  <c r="F577" i="1"/>
  <c r="E578" i="1"/>
  <c r="F578" i="1"/>
  <c r="E579" i="1"/>
  <c r="F579" i="1"/>
  <c r="E580" i="1"/>
  <c r="F580" i="1"/>
  <c r="E581" i="1"/>
  <c r="F581" i="1"/>
  <c r="E582" i="1"/>
  <c r="F582" i="1"/>
  <c r="E583" i="1"/>
  <c r="F583" i="1"/>
  <c r="E584" i="1"/>
  <c r="F584" i="1"/>
  <c r="E585" i="1"/>
  <c r="F585" i="1"/>
  <c r="E586" i="1"/>
  <c r="F586" i="1"/>
  <c r="E587" i="1"/>
  <c r="F587" i="1"/>
  <c r="E588" i="1"/>
  <c r="F588" i="1"/>
  <c r="E589" i="1"/>
  <c r="F589" i="1"/>
  <c r="E590" i="1"/>
  <c r="F590" i="1"/>
  <c r="E591" i="1"/>
  <c r="F591" i="1"/>
  <c r="E592" i="1"/>
  <c r="F592" i="1"/>
  <c r="E593" i="1"/>
  <c r="F593" i="1"/>
  <c r="E594" i="1"/>
  <c r="F594" i="1"/>
  <c r="E595" i="1"/>
  <c r="F595" i="1"/>
  <c r="E596" i="1"/>
  <c r="F596" i="1"/>
  <c r="E597" i="1"/>
  <c r="F597" i="1"/>
  <c r="E598" i="1"/>
  <c r="F598" i="1"/>
  <c r="E599" i="1"/>
  <c r="F599" i="1"/>
  <c r="E600" i="1"/>
  <c r="F600" i="1"/>
  <c r="E601" i="1"/>
  <c r="F601" i="1"/>
  <c r="E602" i="1"/>
  <c r="F602" i="1"/>
  <c r="E603" i="1"/>
  <c r="F603" i="1"/>
  <c r="E604" i="1"/>
  <c r="F604" i="1"/>
  <c r="E605" i="1"/>
  <c r="F605" i="1"/>
  <c r="E606" i="1"/>
  <c r="F606" i="1"/>
  <c r="E607" i="1"/>
  <c r="F607" i="1"/>
  <c r="E608" i="1"/>
  <c r="F608" i="1"/>
  <c r="E609" i="1"/>
  <c r="F609" i="1"/>
  <c r="E610" i="1"/>
  <c r="F610" i="1"/>
  <c r="E611" i="1"/>
  <c r="F611" i="1"/>
  <c r="E612" i="1"/>
  <c r="F612" i="1"/>
  <c r="E613" i="1"/>
  <c r="F613" i="1"/>
  <c r="E614" i="1"/>
  <c r="F614" i="1"/>
  <c r="E615" i="1"/>
  <c r="F615" i="1"/>
  <c r="E616" i="1"/>
  <c r="F616" i="1"/>
  <c r="E617" i="1"/>
  <c r="F617" i="1"/>
  <c r="E618" i="1"/>
  <c r="F618" i="1"/>
  <c r="E619" i="1"/>
  <c r="F619" i="1"/>
  <c r="E620" i="1"/>
  <c r="F620" i="1"/>
  <c r="E621" i="1"/>
  <c r="F621" i="1"/>
  <c r="E622" i="1"/>
  <c r="F622" i="1"/>
  <c r="E623" i="1"/>
  <c r="F623" i="1"/>
  <c r="E624" i="1"/>
  <c r="F624" i="1"/>
  <c r="E625" i="1"/>
  <c r="F625" i="1"/>
  <c r="E626" i="1"/>
  <c r="F626" i="1"/>
  <c r="E627" i="1"/>
  <c r="F627" i="1"/>
  <c r="E628" i="1"/>
  <c r="F628" i="1"/>
  <c r="E629" i="1"/>
  <c r="F629" i="1"/>
  <c r="E630" i="1"/>
  <c r="F630" i="1"/>
  <c r="E631" i="1"/>
  <c r="F631" i="1"/>
  <c r="E632" i="1"/>
  <c r="F632" i="1"/>
  <c r="E633" i="1"/>
  <c r="F633" i="1"/>
  <c r="E634" i="1"/>
  <c r="F634" i="1"/>
  <c r="E635" i="1"/>
  <c r="F635" i="1"/>
  <c r="E636" i="1"/>
  <c r="F636" i="1"/>
  <c r="E637" i="1"/>
  <c r="F637" i="1"/>
  <c r="E638" i="1"/>
  <c r="F638" i="1"/>
  <c r="E639" i="1"/>
  <c r="F639" i="1"/>
  <c r="E640" i="1"/>
  <c r="F640" i="1"/>
  <c r="E641" i="1"/>
  <c r="F641" i="1"/>
  <c r="E642" i="1"/>
  <c r="F642" i="1"/>
  <c r="E643" i="1"/>
  <c r="F643" i="1"/>
  <c r="E644" i="1"/>
  <c r="F644" i="1"/>
  <c r="E645" i="1"/>
  <c r="F645" i="1"/>
  <c r="E646" i="1"/>
  <c r="F646" i="1"/>
  <c r="E647" i="1"/>
  <c r="F647" i="1"/>
  <c r="E648" i="1"/>
  <c r="F648" i="1"/>
  <c r="E649" i="1"/>
  <c r="F649" i="1"/>
  <c r="E650" i="1"/>
  <c r="F650" i="1"/>
  <c r="E651" i="1"/>
  <c r="F651" i="1"/>
  <c r="E652" i="1"/>
  <c r="F652" i="1"/>
  <c r="E653" i="1"/>
  <c r="F653" i="1"/>
  <c r="E654" i="1"/>
  <c r="F654" i="1"/>
  <c r="E655" i="1"/>
  <c r="F655" i="1"/>
  <c r="E656" i="1"/>
  <c r="F656" i="1"/>
  <c r="E657" i="1"/>
  <c r="F657" i="1"/>
  <c r="E658" i="1"/>
  <c r="F658" i="1"/>
  <c r="E659" i="1"/>
  <c r="F659" i="1"/>
  <c r="E660" i="1"/>
  <c r="F660" i="1"/>
  <c r="E661" i="1"/>
  <c r="F661" i="1"/>
  <c r="E662" i="1"/>
  <c r="F662" i="1"/>
  <c r="E663" i="1"/>
  <c r="F663" i="1"/>
  <c r="E664" i="1"/>
  <c r="F664" i="1"/>
  <c r="E665" i="1"/>
  <c r="F665" i="1"/>
  <c r="E666" i="1"/>
  <c r="F666" i="1"/>
  <c r="E667" i="1"/>
  <c r="F667" i="1"/>
  <c r="E668" i="1"/>
  <c r="F668" i="1"/>
  <c r="E669" i="1"/>
  <c r="F669" i="1"/>
  <c r="E670" i="1"/>
  <c r="F670" i="1"/>
  <c r="E671" i="1"/>
  <c r="F671" i="1"/>
  <c r="E672" i="1"/>
  <c r="F672" i="1"/>
  <c r="E673" i="1"/>
  <c r="F673" i="1"/>
  <c r="E674" i="1"/>
  <c r="F674" i="1"/>
  <c r="E675" i="1"/>
  <c r="F675" i="1"/>
  <c r="E676" i="1"/>
  <c r="F676" i="1"/>
  <c r="E677" i="1"/>
  <c r="F677" i="1"/>
  <c r="E678" i="1"/>
  <c r="F678" i="1"/>
  <c r="E679" i="1"/>
  <c r="F679" i="1"/>
  <c r="E680" i="1"/>
  <c r="F680" i="1"/>
  <c r="E681" i="1"/>
  <c r="F681" i="1"/>
  <c r="E682" i="1"/>
  <c r="F682" i="1"/>
  <c r="E683" i="1"/>
  <c r="F683" i="1"/>
  <c r="E684" i="1"/>
  <c r="F684" i="1"/>
  <c r="E685" i="1"/>
  <c r="F685" i="1"/>
  <c r="E686" i="1"/>
  <c r="F686" i="1"/>
  <c r="E687" i="1"/>
  <c r="F687" i="1"/>
  <c r="E688" i="1"/>
  <c r="F688" i="1"/>
  <c r="E689" i="1"/>
  <c r="F689" i="1"/>
  <c r="E690" i="1"/>
  <c r="F690" i="1"/>
  <c r="E691" i="1"/>
  <c r="F691" i="1"/>
  <c r="E692" i="1"/>
  <c r="F692" i="1"/>
  <c r="E693" i="1"/>
  <c r="F693" i="1"/>
  <c r="E694" i="1"/>
  <c r="F694" i="1"/>
  <c r="E695" i="1"/>
  <c r="F695" i="1"/>
  <c r="E696" i="1"/>
  <c r="F696" i="1"/>
  <c r="E697" i="1"/>
  <c r="F697" i="1"/>
  <c r="E698" i="1"/>
  <c r="F698" i="1"/>
  <c r="E699" i="1"/>
  <c r="F699" i="1"/>
  <c r="E700" i="1"/>
  <c r="F700" i="1"/>
  <c r="E701" i="1"/>
  <c r="F701" i="1"/>
  <c r="E702" i="1"/>
  <c r="F702" i="1"/>
  <c r="E703" i="1"/>
  <c r="F703" i="1"/>
  <c r="E704" i="1"/>
  <c r="F704" i="1"/>
  <c r="E705" i="1"/>
  <c r="F705" i="1"/>
  <c r="E706" i="1"/>
  <c r="F706" i="1"/>
  <c r="E707" i="1"/>
  <c r="F707" i="1"/>
  <c r="E708" i="1"/>
  <c r="F708" i="1"/>
  <c r="E709" i="1"/>
  <c r="F709" i="1"/>
  <c r="E710" i="1"/>
  <c r="F710" i="1"/>
  <c r="E711" i="1"/>
  <c r="F711" i="1"/>
  <c r="E712" i="1"/>
  <c r="F712" i="1"/>
  <c r="E713" i="1"/>
  <c r="F713" i="1"/>
  <c r="E714" i="1"/>
  <c r="F714" i="1"/>
  <c r="E715" i="1"/>
  <c r="F715" i="1"/>
  <c r="E716" i="1"/>
  <c r="F716" i="1"/>
  <c r="E717" i="1"/>
  <c r="F717" i="1"/>
  <c r="E718" i="1"/>
  <c r="F718" i="1"/>
  <c r="E719" i="1"/>
  <c r="F719" i="1"/>
  <c r="E720" i="1"/>
  <c r="F720" i="1"/>
  <c r="E721" i="1"/>
  <c r="F721" i="1"/>
  <c r="E722" i="1"/>
  <c r="F722" i="1"/>
  <c r="E723" i="1"/>
  <c r="F723" i="1"/>
  <c r="E724" i="1"/>
  <c r="F724" i="1"/>
  <c r="E725" i="1"/>
  <c r="F725" i="1"/>
  <c r="E726" i="1"/>
  <c r="F726" i="1"/>
  <c r="E727" i="1"/>
  <c r="F727" i="1"/>
  <c r="E728" i="1"/>
  <c r="F728" i="1"/>
  <c r="E729" i="1"/>
  <c r="F729" i="1"/>
  <c r="E730" i="1"/>
  <c r="F730" i="1"/>
  <c r="E731" i="1"/>
  <c r="F731" i="1"/>
  <c r="E732" i="1"/>
  <c r="F732" i="1"/>
  <c r="E733" i="1"/>
  <c r="F733" i="1"/>
  <c r="E734" i="1"/>
  <c r="F734" i="1"/>
  <c r="E735" i="1"/>
  <c r="F735" i="1"/>
  <c r="E736" i="1"/>
  <c r="F736" i="1"/>
  <c r="E737" i="1"/>
  <c r="F737" i="1"/>
  <c r="E738" i="1"/>
  <c r="F738" i="1"/>
  <c r="E739" i="1"/>
  <c r="F739" i="1"/>
  <c r="E740" i="1"/>
  <c r="F740" i="1"/>
  <c r="E741" i="1"/>
  <c r="F741" i="1"/>
  <c r="E742" i="1"/>
  <c r="F742" i="1"/>
  <c r="E743" i="1"/>
  <c r="F743" i="1"/>
  <c r="E744" i="1"/>
  <c r="F744" i="1"/>
  <c r="E745" i="1"/>
  <c r="F745" i="1"/>
  <c r="E746" i="1"/>
  <c r="F746" i="1"/>
  <c r="E747" i="1"/>
  <c r="F747" i="1"/>
  <c r="E748" i="1"/>
  <c r="F748" i="1"/>
  <c r="E749" i="1"/>
  <c r="F749" i="1"/>
  <c r="E750" i="1"/>
  <c r="F750" i="1"/>
  <c r="E751" i="1"/>
  <c r="F751" i="1"/>
  <c r="E752" i="1"/>
  <c r="F752" i="1"/>
  <c r="E753" i="1"/>
  <c r="F753" i="1"/>
  <c r="E754" i="1"/>
  <c r="F754" i="1"/>
  <c r="E755" i="1"/>
  <c r="F755" i="1"/>
  <c r="E756" i="1"/>
  <c r="F756" i="1"/>
  <c r="E757" i="1"/>
  <c r="F757" i="1"/>
  <c r="E758" i="1"/>
  <c r="F758" i="1"/>
  <c r="E759" i="1"/>
  <c r="F759" i="1"/>
  <c r="E760" i="1"/>
  <c r="F760" i="1"/>
  <c r="E761" i="1"/>
  <c r="F761" i="1"/>
  <c r="E762" i="1"/>
  <c r="F762" i="1"/>
  <c r="E763" i="1"/>
  <c r="F763" i="1"/>
  <c r="E764" i="1"/>
  <c r="F764" i="1"/>
  <c r="E765" i="1"/>
  <c r="F765" i="1"/>
  <c r="E766" i="1"/>
  <c r="F766" i="1"/>
  <c r="E767" i="1"/>
  <c r="F767" i="1"/>
  <c r="E768" i="1"/>
  <c r="F768" i="1"/>
  <c r="E769" i="1"/>
  <c r="F769" i="1"/>
  <c r="E770" i="1"/>
  <c r="F770" i="1"/>
  <c r="E771" i="1"/>
  <c r="F771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2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E101" i="1"/>
  <c r="F101" i="1"/>
  <c r="E102" i="1"/>
  <c r="F102" i="1"/>
  <c r="E103" i="1"/>
  <c r="F103" i="1"/>
  <c r="E104" i="1"/>
  <c r="F104" i="1"/>
  <c r="E105" i="1"/>
  <c r="F105" i="1"/>
  <c r="E106" i="1"/>
  <c r="F106" i="1"/>
  <c r="E107" i="1"/>
  <c r="F107" i="1"/>
  <c r="E108" i="1"/>
  <c r="F108" i="1"/>
  <c r="E109" i="1"/>
  <c r="F109" i="1"/>
  <c r="E110" i="1"/>
  <c r="F110" i="1"/>
  <c r="E111" i="1"/>
  <c r="F111" i="1"/>
  <c r="E112" i="1"/>
  <c r="F112" i="1"/>
  <c r="E113" i="1"/>
  <c r="F113" i="1"/>
  <c r="E114" i="1"/>
  <c r="F114" i="1"/>
  <c r="E115" i="1"/>
  <c r="F115" i="1"/>
  <c r="E116" i="1"/>
  <c r="F116" i="1"/>
  <c r="E117" i="1"/>
  <c r="F117" i="1"/>
  <c r="E118" i="1"/>
  <c r="F118" i="1"/>
  <c r="E119" i="1"/>
  <c r="F119" i="1"/>
  <c r="E120" i="1"/>
  <c r="F120" i="1"/>
  <c r="E121" i="1"/>
  <c r="F121" i="1"/>
  <c r="E122" i="1"/>
  <c r="F122" i="1"/>
  <c r="E123" i="1"/>
  <c r="F123" i="1"/>
  <c r="E124" i="1"/>
  <c r="F124" i="1"/>
  <c r="E125" i="1"/>
  <c r="F125" i="1"/>
  <c r="E126" i="1"/>
  <c r="F126" i="1"/>
  <c r="E127" i="1"/>
  <c r="F127" i="1"/>
  <c r="E128" i="1"/>
  <c r="F128" i="1"/>
  <c r="E129" i="1"/>
  <c r="F129" i="1"/>
  <c r="E130" i="1"/>
  <c r="F130" i="1"/>
  <c r="E131" i="1"/>
  <c r="F131" i="1"/>
  <c r="E132" i="1"/>
  <c r="F132" i="1"/>
  <c r="E133" i="1"/>
  <c r="F133" i="1"/>
  <c r="E134" i="1"/>
  <c r="F134" i="1"/>
  <c r="E135" i="1"/>
  <c r="F135" i="1"/>
  <c r="E136" i="1"/>
  <c r="F136" i="1"/>
  <c r="E137" i="1"/>
  <c r="F137" i="1"/>
  <c r="E138" i="1"/>
  <c r="F138" i="1"/>
  <c r="E139" i="1"/>
  <c r="F139" i="1"/>
  <c r="E140" i="1"/>
  <c r="F140" i="1"/>
  <c r="E141" i="1"/>
  <c r="F141" i="1"/>
  <c r="E142" i="1"/>
  <c r="F142" i="1"/>
  <c r="E143" i="1"/>
  <c r="F143" i="1"/>
  <c r="E144" i="1"/>
  <c r="F144" i="1"/>
  <c r="E145" i="1"/>
  <c r="F145" i="1"/>
  <c r="E146" i="1"/>
  <c r="F146" i="1"/>
  <c r="E147" i="1"/>
  <c r="F147" i="1"/>
  <c r="E148" i="1"/>
  <c r="F148" i="1"/>
  <c r="E149" i="1"/>
  <c r="F149" i="1"/>
  <c r="E150" i="1"/>
  <c r="F150" i="1"/>
  <c r="E151" i="1"/>
  <c r="F151" i="1"/>
  <c r="E152" i="1"/>
  <c r="F152" i="1"/>
  <c r="E153" i="1"/>
  <c r="F153" i="1"/>
  <c r="E154" i="1"/>
  <c r="F154" i="1"/>
  <c r="E155" i="1"/>
  <c r="F155" i="1"/>
  <c r="E156" i="1"/>
  <c r="F156" i="1"/>
  <c r="E157" i="1"/>
  <c r="F157" i="1"/>
  <c r="E158" i="1"/>
  <c r="F158" i="1"/>
  <c r="E159" i="1"/>
  <c r="F159" i="1"/>
  <c r="E160" i="1"/>
  <c r="F160" i="1"/>
  <c r="E161" i="1"/>
  <c r="F161" i="1"/>
  <c r="E162" i="1"/>
  <c r="F162" i="1"/>
  <c r="E163" i="1"/>
  <c r="F163" i="1"/>
  <c r="E164" i="1"/>
  <c r="F164" i="1"/>
  <c r="E165" i="1"/>
  <c r="F165" i="1"/>
  <c r="E166" i="1"/>
  <c r="F166" i="1"/>
  <c r="E167" i="1"/>
  <c r="F167" i="1"/>
  <c r="E168" i="1"/>
  <c r="F168" i="1"/>
  <c r="E169" i="1"/>
  <c r="F169" i="1"/>
  <c r="E170" i="1"/>
  <c r="F170" i="1"/>
  <c r="E171" i="1"/>
  <c r="F171" i="1"/>
  <c r="E172" i="1"/>
  <c r="F172" i="1"/>
  <c r="E173" i="1"/>
  <c r="F173" i="1"/>
  <c r="E174" i="1"/>
  <c r="F174" i="1"/>
  <c r="E175" i="1"/>
  <c r="F175" i="1"/>
  <c r="E176" i="1"/>
  <c r="F176" i="1"/>
  <c r="E177" i="1"/>
  <c r="F177" i="1"/>
  <c r="E178" i="1"/>
  <c r="F178" i="1"/>
  <c r="E179" i="1"/>
  <c r="F179" i="1"/>
  <c r="E180" i="1"/>
  <c r="F180" i="1"/>
  <c r="E181" i="1"/>
  <c r="F181" i="1"/>
  <c r="E182" i="1"/>
  <c r="F182" i="1"/>
  <c r="E183" i="1"/>
  <c r="F183" i="1"/>
  <c r="E184" i="1"/>
  <c r="F184" i="1"/>
  <c r="E185" i="1"/>
  <c r="F185" i="1"/>
  <c r="E186" i="1"/>
  <c r="F186" i="1"/>
  <c r="E187" i="1"/>
  <c r="F187" i="1"/>
  <c r="E188" i="1"/>
  <c r="F188" i="1"/>
  <c r="E189" i="1"/>
  <c r="F189" i="1"/>
  <c r="E190" i="1"/>
  <c r="F190" i="1"/>
  <c r="E191" i="1"/>
  <c r="F191" i="1"/>
  <c r="E192" i="1"/>
  <c r="F192" i="1"/>
  <c r="E193" i="1"/>
  <c r="F193" i="1"/>
  <c r="E194" i="1"/>
  <c r="F194" i="1"/>
  <c r="E195" i="1"/>
  <c r="F195" i="1"/>
  <c r="E196" i="1"/>
  <c r="F196" i="1"/>
  <c r="E197" i="1"/>
  <c r="F197" i="1"/>
  <c r="E198" i="1"/>
  <c r="F198" i="1"/>
  <c r="E199" i="1"/>
  <c r="F199" i="1"/>
  <c r="E200" i="1"/>
  <c r="F200" i="1"/>
  <c r="E201" i="1"/>
  <c r="F201" i="1"/>
  <c r="E202" i="1"/>
  <c r="F202" i="1"/>
  <c r="E203" i="1"/>
  <c r="F203" i="1"/>
  <c r="E204" i="1"/>
  <c r="F204" i="1"/>
  <c r="E205" i="1"/>
  <c r="F205" i="1"/>
  <c r="E206" i="1"/>
  <c r="F206" i="1"/>
  <c r="E207" i="1"/>
  <c r="F207" i="1"/>
  <c r="E208" i="1"/>
  <c r="F208" i="1"/>
  <c r="E209" i="1"/>
  <c r="F209" i="1"/>
  <c r="E210" i="1"/>
  <c r="F210" i="1"/>
  <c r="E211" i="1"/>
  <c r="F211" i="1"/>
  <c r="E212" i="1"/>
  <c r="F212" i="1"/>
  <c r="E213" i="1"/>
  <c r="F213" i="1"/>
  <c r="E214" i="1"/>
  <c r="F214" i="1"/>
  <c r="E215" i="1"/>
  <c r="F215" i="1"/>
  <c r="E216" i="1"/>
  <c r="F216" i="1"/>
  <c r="E217" i="1"/>
  <c r="F217" i="1"/>
  <c r="E218" i="1"/>
  <c r="F218" i="1"/>
  <c r="E219" i="1"/>
  <c r="F219" i="1"/>
  <c r="E220" i="1"/>
  <c r="F220" i="1"/>
  <c r="E221" i="1"/>
  <c r="F221" i="1"/>
  <c r="E222" i="1"/>
  <c r="F222" i="1"/>
  <c r="E223" i="1"/>
  <c r="F223" i="1"/>
  <c r="E224" i="1"/>
  <c r="F224" i="1"/>
  <c r="E225" i="1"/>
  <c r="F225" i="1"/>
  <c r="E226" i="1"/>
  <c r="F226" i="1"/>
  <c r="E227" i="1"/>
  <c r="F227" i="1"/>
  <c r="E228" i="1"/>
  <c r="F228" i="1"/>
  <c r="E229" i="1"/>
  <c r="F229" i="1"/>
  <c r="E230" i="1"/>
  <c r="F230" i="1"/>
  <c r="E231" i="1"/>
  <c r="F231" i="1"/>
  <c r="E232" i="1"/>
  <c r="F232" i="1"/>
  <c r="E233" i="1"/>
  <c r="F233" i="1"/>
  <c r="E234" i="1"/>
  <c r="F234" i="1"/>
  <c r="E235" i="1"/>
  <c r="F235" i="1"/>
  <c r="E236" i="1"/>
  <c r="F236" i="1"/>
  <c r="E237" i="1"/>
  <c r="F237" i="1"/>
  <c r="E238" i="1"/>
  <c r="F238" i="1"/>
  <c r="E239" i="1"/>
  <c r="F239" i="1"/>
  <c r="E240" i="1"/>
  <c r="F240" i="1"/>
  <c r="E241" i="1"/>
  <c r="F241" i="1"/>
  <c r="E242" i="1"/>
  <c r="F242" i="1"/>
  <c r="E243" i="1"/>
  <c r="F243" i="1"/>
  <c r="E244" i="1"/>
  <c r="F244" i="1"/>
  <c r="E245" i="1"/>
  <c r="F245" i="1"/>
  <c r="E246" i="1"/>
  <c r="F246" i="1"/>
  <c r="E247" i="1"/>
  <c r="F247" i="1"/>
  <c r="E248" i="1"/>
  <c r="F248" i="1"/>
  <c r="E249" i="1"/>
  <c r="F249" i="1"/>
  <c r="E250" i="1"/>
  <c r="F250" i="1"/>
  <c r="E251" i="1"/>
  <c r="F251" i="1"/>
  <c r="E252" i="1"/>
  <c r="F252" i="1"/>
  <c r="E253" i="1"/>
  <c r="F253" i="1"/>
  <c r="E254" i="1"/>
  <c r="F254" i="1"/>
  <c r="E255" i="1"/>
  <c r="F255" i="1"/>
  <c r="E256" i="1"/>
  <c r="F256" i="1"/>
  <c r="E257" i="1"/>
  <c r="F257" i="1"/>
  <c r="E258" i="1"/>
  <c r="F258" i="1"/>
  <c r="E259" i="1"/>
  <c r="F259" i="1"/>
  <c r="E260" i="1"/>
  <c r="F260" i="1"/>
  <c r="E261" i="1"/>
  <c r="F261" i="1"/>
  <c r="E262" i="1"/>
  <c r="F262" i="1"/>
  <c r="E263" i="1"/>
  <c r="F263" i="1"/>
  <c r="E264" i="1"/>
  <c r="F264" i="1"/>
  <c r="E265" i="1"/>
  <c r="F265" i="1"/>
  <c r="E266" i="1"/>
  <c r="F266" i="1"/>
  <c r="E267" i="1"/>
  <c r="F267" i="1"/>
  <c r="E268" i="1"/>
  <c r="F268" i="1"/>
  <c r="E269" i="1"/>
  <c r="F269" i="1"/>
  <c r="E270" i="1"/>
  <c r="F270" i="1"/>
  <c r="E271" i="1"/>
  <c r="F271" i="1"/>
  <c r="E272" i="1"/>
  <c r="F272" i="1"/>
  <c r="E273" i="1"/>
  <c r="F273" i="1"/>
  <c r="E274" i="1"/>
  <c r="F274" i="1"/>
  <c r="E275" i="1"/>
  <c r="F275" i="1"/>
  <c r="E276" i="1"/>
  <c r="F276" i="1"/>
  <c r="E277" i="1"/>
  <c r="F277" i="1"/>
  <c r="E278" i="1"/>
  <c r="F278" i="1"/>
  <c r="E279" i="1"/>
  <c r="F279" i="1"/>
  <c r="E280" i="1"/>
  <c r="F280" i="1"/>
  <c r="E281" i="1"/>
  <c r="F281" i="1"/>
  <c r="E282" i="1"/>
  <c r="F282" i="1"/>
  <c r="E283" i="1"/>
  <c r="F283" i="1"/>
  <c r="E284" i="1"/>
  <c r="F284" i="1"/>
  <c r="E285" i="1"/>
  <c r="F285" i="1"/>
  <c r="E286" i="1"/>
  <c r="F286" i="1"/>
  <c r="E287" i="1"/>
  <c r="F287" i="1"/>
  <c r="E288" i="1"/>
  <c r="F288" i="1"/>
  <c r="E289" i="1"/>
  <c r="F289" i="1"/>
  <c r="E290" i="1"/>
  <c r="F290" i="1"/>
  <c r="E291" i="1"/>
  <c r="F291" i="1"/>
  <c r="E292" i="1"/>
  <c r="F292" i="1"/>
  <c r="E293" i="1"/>
  <c r="F293" i="1"/>
  <c r="E294" i="1"/>
  <c r="F294" i="1"/>
  <c r="E295" i="1"/>
  <c r="F295" i="1"/>
  <c r="E296" i="1"/>
  <c r="F296" i="1"/>
  <c r="E297" i="1"/>
  <c r="F297" i="1"/>
  <c r="E298" i="1"/>
  <c r="F298" i="1"/>
  <c r="E299" i="1"/>
  <c r="F299" i="1"/>
  <c r="E300" i="1"/>
  <c r="F300" i="1"/>
  <c r="E301" i="1"/>
  <c r="F301" i="1"/>
  <c r="E302" i="1"/>
  <c r="F302" i="1"/>
  <c r="E303" i="1"/>
  <c r="F303" i="1"/>
  <c r="E304" i="1"/>
  <c r="F304" i="1"/>
  <c r="E305" i="1"/>
  <c r="F305" i="1"/>
  <c r="E306" i="1"/>
  <c r="F306" i="1"/>
  <c r="E307" i="1"/>
  <c r="F307" i="1"/>
  <c r="E308" i="1"/>
  <c r="F308" i="1"/>
  <c r="E309" i="1"/>
  <c r="F309" i="1"/>
  <c r="E310" i="1"/>
  <c r="F310" i="1"/>
  <c r="E311" i="1"/>
  <c r="F311" i="1"/>
  <c r="E312" i="1"/>
  <c r="F312" i="1"/>
  <c r="E313" i="1"/>
  <c r="F313" i="1"/>
  <c r="E314" i="1"/>
  <c r="F314" i="1"/>
  <c r="E315" i="1"/>
  <c r="F315" i="1"/>
  <c r="E316" i="1"/>
  <c r="F316" i="1"/>
  <c r="E317" i="1"/>
  <c r="F317" i="1"/>
  <c r="E318" i="1"/>
  <c r="F318" i="1"/>
  <c r="E319" i="1"/>
  <c r="F319" i="1"/>
  <c r="E320" i="1"/>
  <c r="F320" i="1"/>
  <c r="E321" i="1"/>
  <c r="F321" i="1"/>
  <c r="E322" i="1"/>
  <c r="F322" i="1"/>
  <c r="E323" i="1"/>
  <c r="F323" i="1"/>
  <c r="E324" i="1"/>
  <c r="F324" i="1"/>
  <c r="E325" i="1"/>
  <c r="F325" i="1"/>
  <c r="E326" i="1"/>
  <c r="F326" i="1"/>
  <c r="E327" i="1"/>
  <c r="F327" i="1"/>
  <c r="E328" i="1"/>
  <c r="F328" i="1"/>
  <c r="E329" i="1"/>
  <c r="F329" i="1"/>
  <c r="E330" i="1"/>
  <c r="F330" i="1"/>
  <c r="E331" i="1"/>
  <c r="F331" i="1"/>
  <c r="E332" i="1"/>
  <c r="F332" i="1"/>
  <c r="E333" i="1"/>
  <c r="F333" i="1"/>
  <c r="E334" i="1"/>
  <c r="F334" i="1"/>
  <c r="E335" i="1"/>
  <c r="F335" i="1"/>
  <c r="E336" i="1"/>
  <c r="F336" i="1"/>
  <c r="E337" i="1"/>
  <c r="F337" i="1"/>
  <c r="E338" i="1"/>
  <c r="F338" i="1"/>
  <c r="E339" i="1"/>
  <c r="F339" i="1"/>
  <c r="E340" i="1"/>
  <c r="F340" i="1"/>
  <c r="E341" i="1"/>
  <c r="F341" i="1"/>
  <c r="E342" i="1"/>
  <c r="F342" i="1"/>
  <c r="E343" i="1"/>
  <c r="F343" i="1"/>
  <c r="E344" i="1"/>
  <c r="F344" i="1"/>
  <c r="E345" i="1"/>
  <c r="F345" i="1"/>
  <c r="E346" i="1"/>
  <c r="F346" i="1"/>
  <c r="E347" i="1"/>
  <c r="F347" i="1"/>
  <c r="E348" i="1"/>
  <c r="F348" i="1"/>
  <c r="E349" i="1"/>
  <c r="F349" i="1"/>
  <c r="E350" i="1"/>
  <c r="F350" i="1"/>
  <c r="E351" i="1"/>
  <c r="F351" i="1"/>
  <c r="E352" i="1"/>
  <c r="F352" i="1"/>
  <c r="E353" i="1"/>
  <c r="F353" i="1"/>
  <c r="E354" i="1"/>
  <c r="F354" i="1"/>
  <c r="E355" i="1"/>
  <c r="F355" i="1"/>
  <c r="E356" i="1"/>
  <c r="F356" i="1"/>
  <c r="E357" i="1"/>
  <c r="F357" i="1"/>
  <c r="E358" i="1"/>
  <c r="F358" i="1"/>
  <c r="E359" i="1"/>
  <c r="F359" i="1"/>
  <c r="E360" i="1"/>
  <c r="F360" i="1"/>
  <c r="E361" i="1"/>
  <c r="F361" i="1"/>
  <c r="E362" i="1"/>
  <c r="F362" i="1"/>
  <c r="E363" i="1"/>
  <c r="F363" i="1"/>
  <c r="E364" i="1"/>
  <c r="F364" i="1"/>
  <c r="E365" i="1"/>
  <c r="F365" i="1"/>
  <c r="E366" i="1"/>
  <c r="F366" i="1"/>
  <c r="E367" i="1"/>
  <c r="F367" i="1"/>
  <c r="E368" i="1"/>
  <c r="F368" i="1"/>
  <c r="E369" i="1"/>
  <c r="F369" i="1"/>
  <c r="E370" i="1"/>
  <c r="F370" i="1"/>
  <c r="E371" i="1"/>
  <c r="F371" i="1"/>
  <c r="E372" i="1"/>
  <c r="F372" i="1"/>
  <c r="E373" i="1"/>
  <c r="F373" i="1"/>
  <c r="E374" i="1"/>
  <c r="F374" i="1"/>
  <c r="E375" i="1"/>
  <c r="F375" i="1"/>
  <c r="E376" i="1"/>
  <c r="F376" i="1"/>
  <c r="E377" i="1"/>
  <c r="F377" i="1"/>
  <c r="E378" i="1"/>
  <c r="F378" i="1"/>
  <c r="E379" i="1"/>
  <c r="F379" i="1"/>
  <c r="E380" i="1"/>
  <c r="F380" i="1"/>
  <c r="E381" i="1"/>
  <c r="F381" i="1"/>
  <c r="E382" i="1"/>
  <c r="F382" i="1"/>
  <c r="E383" i="1"/>
  <c r="F383" i="1"/>
  <c r="E384" i="1"/>
  <c r="F384" i="1"/>
  <c r="E385" i="1"/>
  <c r="F385" i="1"/>
  <c r="E386" i="1"/>
  <c r="F386" i="1"/>
  <c r="E387" i="1"/>
  <c r="F387" i="1"/>
  <c r="E388" i="1"/>
  <c r="F388" i="1"/>
  <c r="E389" i="1"/>
  <c r="F389" i="1"/>
  <c r="E390" i="1"/>
  <c r="F390" i="1"/>
  <c r="E391" i="1"/>
  <c r="F391" i="1"/>
  <c r="E392" i="1"/>
  <c r="F392" i="1"/>
  <c r="E393" i="1"/>
  <c r="F393" i="1"/>
  <c r="E394" i="1"/>
  <c r="F394" i="1"/>
  <c r="E395" i="1"/>
  <c r="F395" i="1"/>
  <c r="E396" i="1"/>
  <c r="F396" i="1"/>
  <c r="E397" i="1"/>
  <c r="F397" i="1"/>
  <c r="E398" i="1"/>
  <c r="F398" i="1"/>
  <c r="E399" i="1"/>
  <c r="F399" i="1"/>
  <c r="E400" i="1"/>
  <c r="F400" i="1"/>
  <c r="E401" i="1"/>
  <c r="F401" i="1"/>
  <c r="E402" i="1"/>
  <c r="F402" i="1"/>
  <c r="E403" i="1"/>
  <c r="F403" i="1"/>
  <c r="E404" i="1"/>
  <c r="F404" i="1"/>
  <c r="E405" i="1"/>
  <c r="F405" i="1"/>
  <c r="E406" i="1"/>
  <c r="F406" i="1"/>
  <c r="E407" i="1"/>
  <c r="F407" i="1"/>
  <c r="E408" i="1"/>
  <c r="F408" i="1"/>
  <c r="E409" i="1"/>
  <c r="F409" i="1"/>
  <c r="E410" i="1"/>
  <c r="F410" i="1"/>
  <c r="E411" i="1"/>
  <c r="F411" i="1"/>
  <c r="E412" i="1"/>
  <c r="F412" i="1"/>
  <c r="E413" i="1"/>
  <c r="F413" i="1"/>
  <c r="E414" i="1"/>
  <c r="F414" i="1"/>
  <c r="E415" i="1"/>
  <c r="F415" i="1"/>
  <c r="E416" i="1"/>
  <c r="F416" i="1"/>
  <c r="E417" i="1"/>
  <c r="F417" i="1"/>
  <c r="E418" i="1"/>
  <c r="F418" i="1"/>
  <c r="E419" i="1"/>
  <c r="F419" i="1"/>
  <c r="E420" i="1"/>
  <c r="F420" i="1"/>
  <c r="E421" i="1"/>
  <c r="F421" i="1"/>
  <c r="E422" i="1"/>
  <c r="F422" i="1"/>
  <c r="E423" i="1"/>
  <c r="F423" i="1"/>
  <c r="E424" i="1"/>
  <c r="F424" i="1"/>
  <c r="E425" i="1"/>
  <c r="F425" i="1"/>
  <c r="E426" i="1"/>
  <c r="F426" i="1"/>
  <c r="E427" i="1"/>
  <c r="F427" i="1"/>
  <c r="E428" i="1"/>
  <c r="F428" i="1"/>
  <c r="E429" i="1"/>
  <c r="F429" i="1"/>
  <c r="E430" i="1"/>
  <c r="F430" i="1"/>
  <c r="E431" i="1"/>
  <c r="F431" i="1"/>
  <c r="E432" i="1"/>
  <c r="F432" i="1"/>
  <c r="E433" i="1"/>
  <c r="F433" i="1"/>
  <c r="E434" i="1"/>
  <c r="F434" i="1"/>
  <c r="E435" i="1"/>
  <c r="F435" i="1"/>
  <c r="E436" i="1"/>
  <c r="F436" i="1"/>
  <c r="E437" i="1"/>
  <c r="F437" i="1"/>
  <c r="E438" i="1"/>
  <c r="F438" i="1"/>
  <c r="E439" i="1"/>
  <c r="F439" i="1"/>
  <c r="E440" i="1"/>
  <c r="F440" i="1"/>
  <c r="E441" i="1"/>
  <c r="F441" i="1"/>
  <c r="E442" i="1"/>
  <c r="F442" i="1"/>
  <c r="E443" i="1"/>
  <c r="F443" i="1"/>
  <c r="E444" i="1"/>
  <c r="F444" i="1"/>
  <c r="E445" i="1"/>
  <c r="F445" i="1"/>
  <c r="E446" i="1"/>
  <c r="F446" i="1"/>
  <c r="E447" i="1"/>
  <c r="F447" i="1"/>
  <c r="E448" i="1"/>
  <c r="F448" i="1"/>
  <c r="E449" i="1"/>
  <c r="F449" i="1"/>
  <c r="E450" i="1"/>
  <c r="F450" i="1"/>
  <c r="E451" i="1"/>
  <c r="F451" i="1"/>
  <c r="E452" i="1"/>
  <c r="F452" i="1"/>
  <c r="E453" i="1"/>
  <c r="F453" i="1"/>
  <c r="E454" i="1"/>
  <c r="F454" i="1"/>
  <c r="E455" i="1"/>
  <c r="F455" i="1"/>
  <c r="E456" i="1"/>
  <c r="F456" i="1"/>
  <c r="E457" i="1"/>
  <c r="F457" i="1"/>
  <c r="E458" i="1"/>
  <c r="F458" i="1"/>
  <c r="E459" i="1"/>
  <c r="F459" i="1"/>
  <c r="E460" i="1"/>
  <c r="F460" i="1"/>
  <c r="E461" i="1"/>
  <c r="F461" i="1"/>
  <c r="E462" i="1"/>
  <c r="F462" i="1"/>
  <c r="E463" i="1"/>
  <c r="F463" i="1"/>
  <c r="E464" i="1"/>
  <c r="F464" i="1"/>
  <c r="F2" i="1"/>
  <c r="E2" i="1"/>
</calcChain>
</file>

<file path=xl/sharedStrings.xml><?xml version="1.0" encoding="utf-8"?>
<sst xmlns="http://purl.oclc.org/ooxml/spreadsheetml/main" count="7660" uniqueCount="1720">
  <si>
    <t>Manufacturers</t>
  </si>
  <si>
    <t>Makes</t>
  </si>
  <si>
    <t>Carlines</t>
  </si>
  <si>
    <t>year_make_model</t>
  </si>
  <si>
    <t>vehicle_type</t>
  </si>
  <si>
    <t>pcUSCA_content</t>
  </si>
  <si>
    <t>pcOth1_content</t>
  </si>
  <si>
    <t>pcOth2_content</t>
  </si>
  <si>
    <t>assembly1</t>
  </si>
  <si>
    <t>assembly2</t>
  </si>
  <si>
    <t>engine1</t>
  </si>
  <si>
    <t>engine2</t>
  </si>
  <si>
    <t>transmission1</t>
  </si>
  <si>
    <t>transmission2</t>
  </si>
  <si>
    <t>Aston Martin Lagonda, Ltd.</t>
  </si>
  <si>
    <t>Aston Martin</t>
  </si>
  <si>
    <t>DB11 AMR</t>
  </si>
  <si>
    <t>2022_astonmartin_db11</t>
  </si>
  <si>
    <t>PC</t>
  </si>
  <si>
    <t>66% UK</t>
  </si>
  <si>
    <t>22% G</t>
  </si>
  <si>
    <t>UK</t>
  </si>
  <si>
    <t>G</t>
  </si>
  <si>
    <t>DBS</t>
  </si>
  <si>
    <t>2022_astonmartin_dbs</t>
  </si>
  <si>
    <t>DB11 V8</t>
  </si>
  <si>
    <t>Vantage</t>
  </si>
  <si>
    <t>2022_astonmartin_vantage</t>
  </si>
  <si>
    <t>Audi</t>
  </si>
  <si>
    <t>e-tron</t>
  </si>
  <si>
    <t>MPV</t>
  </si>
  <si>
    <t>33% PL</t>
  </si>
  <si>
    <t>23% G</t>
  </si>
  <si>
    <t>BE</t>
  </si>
  <si>
    <t>PL</t>
  </si>
  <si>
    <t>H</t>
  </si>
  <si>
    <t xml:space="preserve">e-tron S </t>
  </si>
  <si>
    <t>46% H</t>
  </si>
  <si>
    <t>e-tron Sportback</t>
  </si>
  <si>
    <t>32% PL</t>
  </si>
  <si>
    <t>e-tron S Sportback</t>
  </si>
  <si>
    <t>21% G</t>
  </si>
  <si>
    <t>e-tron GT</t>
  </si>
  <si>
    <t>56% G</t>
  </si>
  <si>
    <t>19% PL</t>
  </si>
  <si>
    <t>Battery: PL</t>
  </si>
  <si>
    <t>RS e-tron GT</t>
  </si>
  <si>
    <t>55% G</t>
  </si>
  <si>
    <t>20% PL</t>
  </si>
  <si>
    <t>A3 40 FWD</t>
  </si>
  <si>
    <t>2022_audi_a3</t>
  </si>
  <si>
    <t>54% G</t>
  </si>
  <si>
    <t>17% H</t>
  </si>
  <si>
    <t>A3 40 quattro</t>
  </si>
  <si>
    <t>57% G</t>
  </si>
  <si>
    <t xml:space="preserve"> </t>
  </si>
  <si>
    <t>S3</t>
  </si>
  <si>
    <t>2022_audi_s3</t>
  </si>
  <si>
    <t>60% G</t>
  </si>
  <si>
    <t>RS 3</t>
  </si>
  <si>
    <t>2022_audi_rs3</t>
  </si>
  <si>
    <t>45%G</t>
  </si>
  <si>
    <t>37%H</t>
  </si>
  <si>
    <t>A4 40</t>
  </si>
  <si>
    <t>2022_audi_a4</t>
  </si>
  <si>
    <t>49% G</t>
  </si>
  <si>
    <t>A4 45</t>
  </si>
  <si>
    <t>15% H</t>
  </si>
  <si>
    <t>S4</t>
  </si>
  <si>
    <t>2022_audi_s4</t>
  </si>
  <si>
    <t>44% G</t>
  </si>
  <si>
    <t>31% H</t>
  </si>
  <si>
    <t xml:space="preserve">G </t>
  </si>
  <si>
    <t>A4 allroad 45</t>
  </si>
  <si>
    <t>2022_audi_a4allroad</t>
  </si>
  <si>
    <t>48% G</t>
  </si>
  <si>
    <t>A5 Cabriolet 45</t>
  </si>
  <si>
    <t>2022_audi_a5</t>
  </si>
  <si>
    <t>S5 Cabriolet</t>
  </si>
  <si>
    <t>2022_audi_s5</t>
  </si>
  <si>
    <t>46% G</t>
  </si>
  <si>
    <t>25% H</t>
  </si>
  <si>
    <t>A5 Coupe S line 45</t>
  </si>
  <si>
    <t>50% G</t>
  </si>
  <si>
    <t xml:space="preserve">S5 Coupe </t>
  </si>
  <si>
    <t>42% G</t>
  </si>
  <si>
    <t>30% H</t>
  </si>
  <si>
    <t>RS5 Coupe</t>
  </si>
  <si>
    <t>2022_audi_rs5</t>
  </si>
  <si>
    <t>A5 Sportback 40</t>
  </si>
  <si>
    <t>A5 Sportback 45</t>
  </si>
  <si>
    <t>51% G</t>
  </si>
  <si>
    <t>S5 Sportback</t>
  </si>
  <si>
    <t>RS5 Sportback</t>
  </si>
  <si>
    <t>A6 45</t>
  </si>
  <si>
    <t>2022_audi_a6</t>
  </si>
  <si>
    <t>A6 Sport 45</t>
  </si>
  <si>
    <t>A6 55</t>
  </si>
  <si>
    <t>19% H</t>
  </si>
  <si>
    <t>S6</t>
  </si>
  <si>
    <t>2022_audi_s6</t>
  </si>
  <si>
    <t>41% G</t>
  </si>
  <si>
    <t>27% H</t>
  </si>
  <si>
    <t>RS6 Avant</t>
  </si>
  <si>
    <t>2022_audi_rs6</t>
  </si>
  <si>
    <t>63% G</t>
  </si>
  <si>
    <t>A6 allroad 55</t>
  </si>
  <si>
    <t>2022_audi_a6allroad</t>
  </si>
  <si>
    <t>47%G</t>
  </si>
  <si>
    <t>18% H</t>
  </si>
  <si>
    <t>A7 55</t>
  </si>
  <si>
    <t>2022_audi_a7</t>
  </si>
  <si>
    <t>20% H</t>
  </si>
  <si>
    <t>A7 55 PHEV</t>
  </si>
  <si>
    <t>2022_audi_a7hybrid</t>
  </si>
  <si>
    <t>26% H</t>
  </si>
  <si>
    <t>S7</t>
  </si>
  <si>
    <t>2022_audi_s7</t>
  </si>
  <si>
    <t>RS7</t>
  </si>
  <si>
    <t>2022_audi_rs7</t>
  </si>
  <si>
    <t>61% G</t>
  </si>
  <si>
    <t>A8L 55</t>
  </si>
  <si>
    <t>2022_audi_a8</t>
  </si>
  <si>
    <t>21% H</t>
  </si>
  <si>
    <t>A8L 60</t>
  </si>
  <si>
    <t>66% G</t>
  </si>
  <si>
    <t>A8L PHEV</t>
  </si>
  <si>
    <t>2022_audi_a8hybrid</t>
  </si>
  <si>
    <t>48%G</t>
  </si>
  <si>
    <t>S8L</t>
  </si>
  <si>
    <t>2022_audi_s8</t>
  </si>
  <si>
    <t>64% G</t>
  </si>
  <si>
    <t>Q3 40</t>
  </si>
  <si>
    <t>2022_audi_q3</t>
  </si>
  <si>
    <t>24% G</t>
  </si>
  <si>
    <t>JP</t>
  </si>
  <si>
    <t>Q3 45</t>
  </si>
  <si>
    <t>Q4 40 e-tron</t>
  </si>
  <si>
    <t>82% G</t>
  </si>
  <si>
    <t>Q4 50 e-tron</t>
  </si>
  <si>
    <t>81% G</t>
  </si>
  <si>
    <t>Q4 Sportback 50 e-tron</t>
  </si>
  <si>
    <t>Q5 40</t>
  </si>
  <si>
    <t>2022_audi_q5</t>
  </si>
  <si>
    <t>63% M</t>
  </si>
  <si>
    <t>20% G</t>
  </si>
  <si>
    <t>M</t>
  </si>
  <si>
    <t>Q5 45</t>
  </si>
  <si>
    <t>78% M</t>
  </si>
  <si>
    <t>Q5 55 PHEV</t>
  </si>
  <si>
    <t>2022_audi_q5hybrid</t>
  </si>
  <si>
    <t>46% M</t>
  </si>
  <si>
    <t>SQ5</t>
  </si>
  <si>
    <t>2022_audi_sq5</t>
  </si>
  <si>
    <t>Q5 Sportback</t>
  </si>
  <si>
    <t>76% M</t>
  </si>
  <si>
    <t>16% G</t>
  </si>
  <si>
    <t>SQ5 Sportback</t>
  </si>
  <si>
    <t>62% M</t>
  </si>
  <si>
    <t>Q7 45</t>
  </si>
  <si>
    <t>2022_audi_q7</t>
  </si>
  <si>
    <t>32% SL</t>
  </si>
  <si>
    <t>19% G</t>
  </si>
  <si>
    <t>SL</t>
  </si>
  <si>
    <t>Q7 55</t>
  </si>
  <si>
    <t>29% SL</t>
  </si>
  <si>
    <t>SQ7</t>
  </si>
  <si>
    <t>2022_audi_sq7</t>
  </si>
  <si>
    <t>53% G</t>
  </si>
  <si>
    <t>26% SL</t>
  </si>
  <si>
    <t>Q8</t>
  </si>
  <si>
    <t>2022_audi_q8</t>
  </si>
  <si>
    <t>25% G</t>
  </si>
  <si>
    <t>SQ8</t>
  </si>
  <si>
    <t>2022_audi_sq8</t>
  </si>
  <si>
    <t>23% SL</t>
  </si>
  <si>
    <t>RS Q8</t>
  </si>
  <si>
    <t>2022_audi_rsq8</t>
  </si>
  <si>
    <t>22% SL</t>
  </si>
  <si>
    <t>R8 Coupe RWD</t>
  </si>
  <si>
    <t>2022_audi_r8</t>
  </si>
  <si>
    <t>24% H</t>
  </si>
  <si>
    <t>R8 Coupe</t>
  </si>
  <si>
    <t>R8 Spyder RWD</t>
  </si>
  <si>
    <t>R8 Spyder</t>
  </si>
  <si>
    <t xml:space="preserve">52% G </t>
  </si>
  <si>
    <t>TT Coupe</t>
  </si>
  <si>
    <t>2022_audi_tt</t>
  </si>
  <si>
    <t>53% H</t>
  </si>
  <si>
    <t>26% G</t>
  </si>
  <si>
    <t>TTS Coupe</t>
  </si>
  <si>
    <t>2022_audi_tts</t>
  </si>
  <si>
    <t>27% G</t>
  </si>
  <si>
    <t>TT RS Coupe</t>
  </si>
  <si>
    <t>2022_audi_ttrs</t>
  </si>
  <si>
    <t>61% H</t>
  </si>
  <si>
    <t>TT Roadster</t>
  </si>
  <si>
    <t>52% H</t>
  </si>
  <si>
    <t>Bentley</t>
  </si>
  <si>
    <t>Bentayga V8</t>
  </si>
  <si>
    <t>2022_bentley_bentayga</t>
  </si>
  <si>
    <t>65% G</t>
  </si>
  <si>
    <t>Bentayga Speed</t>
  </si>
  <si>
    <t>Bentayga Hybrid</t>
  </si>
  <si>
    <t>2022_bentley_bentaygahybrid</t>
  </si>
  <si>
    <t>Flying Spur</t>
  </si>
  <si>
    <t>2022_bentley_flyingspur</t>
  </si>
  <si>
    <t>67% G</t>
  </si>
  <si>
    <t>15% UK</t>
  </si>
  <si>
    <t>Flying Spur V8</t>
  </si>
  <si>
    <t>69% G</t>
  </si>
  <si>
    <t>Mulsanne</t>
  </si>
  <si>
    <t>2022_bentley_mulsanne</t>
  </si>
  <si>
    <t>41%UK</t>
  </si>
  <si>
    <t>37%G</t>
  </si>
  <si>
    <t>Mulsanne Speed</t>
  </si>
  <si>
    <t>42% UK</t>
  </si>
  <si>
    <t>35% G</t>
  </si>
  <si>
    <t>Continental GT V8</t>
  </si>
  <si>
    <t>2022_bentley_continental</t>
  </si>
  <si>
    <t>72% G</t>
  </si>
  <si>
    <t>Continental GT Convertible V8</t>
  </si>
  <si>
    <t>71% G</t>
  </si>
  <si>
    <t>Continental GT W12</t>
  </si>
  <si>
    <t>Continental GT Convertible W12</t>
  </si>
  <si>
    <t>70% G</t>
  </si>
  <si>
    <t>BMW AG</t>
  </si>
  <si>
    <t>BMW</t>
  </si>
  <si>
    <t>2 Series Coupe/Convertible</t>
  </si>
  <si>
    <t>2022_bmw_2series</t>
  </si>
  <si>
    <t>39% G</t>
  </si>
  <si>
    <t xml:space="preserve">17% M </t>
  </si>
  <si>
    <t>G (2.3)</t>
  </si>
  <si>
    <t>A (2.4)</t>
  </si>
  <si>
    <t>2 Series Gran Coupe</t>
  </si>
  <si>
    <t>36% G</t>
  </si>
  <si>
    <t>J</t>
  </si>
  <si>
    <t>330e Sedan</t>
  </si>
  <si>
    <t>25% MX</t>
  </si>
  <si>
    <t>3 Series Sedan</t>
  </si>
  <si>
    <t>2022_bmw_3series</t>
  </si>
  <si>
    <t>40% G</t>
  </si>
  <si>
    <t>18% M</t>
  </si>
  <si>
    <t>G (3.3)</t>
  </si>
  <si>
    <t>A (3.4)</t>
  </si>
  <si>
    <t>4 Series Coupe/Convertible</t>
  </si>
  <si>
    <t>2022_bmw_4series</t>
  </si>
  <si>
    <t>4 Series  Gran Coupe</t>
  </si>
  <si>
    <t>5 Series Sedan</t>
  </si>
  <si>
    <t>2022_bmw_5series</t>
  </si>
  <si>
    <t>37% G</t>
  </si>
  <si>
    <t>17% OT</t>
  </si>
  <si>
    <t>A</t>
  </si>
  <si>
    <t>7 Series Sedan</t>
  </si>
  <si>
    <t>2022_bmw_7series</t>
  </si>
  <si>
    <t>8 Series Coupe/Convertible</t>
  </si>
  <si>
    <t>2022_bmw_8series</t>
  </si>
  <si>
    <t>58% G</t>
  </si>
  <si>
    <t>8 Series Gran Coupe</t>
  </si>
  <si>
    <t>62% G</t>
  </si>
  <si>
    <t>X1</t>
  </si>
  <si>
    <t>2022_bmw_x1</t>
  </si>
  <si>
    <t>X2</t>
  </si>
  <si>
    <t>2022_bmw_x2</t>
  </si>
  <si>
    <t>X3</t>
  </si>
  <si>
    <t>2022_bmw_x3</t>
  </si>
  <si>
    <t>30% G</t>
  </si>
  <si>
    <t>23% AF</t>
  </si>
  <si>
    <t>AF</t>
  </si>
  <si>
    <t>16% M</t>
  </si>
  <si>
    <t>US</t>
  </si>
  <si>
    <t>A (4.0)</t>
  </si>
  <si>
    <t>UK (3.0), G (M)</t>
  </si>
  <si>
    <t>X3 30e</t>
  </si>
  <si>
    <t>2022_bmw_x3hybrid</t>
  </si>
  <si>
    <t>15% M</t>
  </si>
  <si>
    <t>X3M</t>
  </si>
  <si>
    <t>17% MX</t>
  </si>
  <si>
    <t>X4M</t>
  </si>
  <si>
    <t>2022_bmw_x4</t>
  </si>
  <si>
    <t>19% MX</t>
  </si>
  <si>
    <t>X4</t>
  </si>
  <si>
    <t>X5</t>
  </si>
  <si>
    <t>2022_bmw_x5</t>
  </si>
  <si>
    <t xml:space="preserve">16% M </t>
  </si>
  <si>
    <t>12% G</t>
  </si>
  <si>
    <t>G (5.0, M)</t>
  </si>
  <si>
    <t>A (4.0, 4.5e)</t>
  </si>
  <si>
    <t>X5 xDrive45e</t>
  </si>
  <si>
    <t>2022_bmw_x5hybrid</t>
  </si>
  <si>
    <t>33% G</t>
  </si>
  <si>
    <t>22% MX</t>
  </si>
  <si>
    <t>X6</t>
  </si>
  <si>
    <t>2022_bmw_x6</t>
  </si>
  <si>
    <t xml:space="preserve">16% G </t>
  </si>
  <si>
    <t>X7</t>
  </si>
  <si>
    <t>2022_bmw_x7</t>
  </si>
  <si>
    <t>17% M</t>
  </si>
  <si>
    <t>15% G</t>
  </si>
  <si>
    <t>G (5.0)</t>
  </si>
  <si>
    <t>Z4</t>
  </si>
  <si>
    <t>2022_bmw_z4</t>
  </si>
  <si>
    <t>29% G</t>
  </si>
  <si>
    <t>22% A</t>
  </si>
  <si>
    <t>i3</t>
  </si>
  <si>
    <t>2022_bmw_i3</t>
  </si>
  <si>
    <t>20% CH</t>
  </si>
  <si>
    <t>i4</t>
  </si>
  <si>
    <t>iX</t>
  </si>
  <si>
    <t>31% CH</t>
  </si>
  <si>
    <t>Cooper Hard Top 2 Door</t>
  </si>
  <si>
    <t>2022_mini_cooper</t>
  </si>
  <si>
    <t>32% G</t>
  </si>
  <si>
    <t>19% UK</t>
  </si>
  <si>
    <t>Cooper Hard Top 4 Door</t>
  </si>
  <si>
    <t>Cooper Convertible</t>
  </si>
  <si>
    <t>17% PL</t>
  </si>
  <si>
    <t>N</t>
  </si>
  <si>
    <t>J (JCW Auto)</t>
  </si>
  <si>
    <t>Cooper Clubman</t>
  </si>
  <si>
    <t>J (JCW Auto, AWD)</t>
  </si>
  <si>
    <t>Cooper Countryman</t>
  </si>
  <si>
    <t>12% J</t>
  </si>
  <si>
    <t>Toyota</t>
  </si>
  <si>
    <t>Supra</t>
  </si>
  <si>
    <t>2022_toyota_supra</t>
  </si>
  <si>
    <t>25% A</t>
  </si>
  <si>
    <t>Rolls-Royce Motor</t>
  </si>
  <si>
    <t>Rolls-Royce</t>
  </si>
  <si>
    <t>Phantom</t>
  </si>
  <si>
    <t>2022_rollsroyce_phantom</t>
  </si>
  <si>
    <t>Ghost</t>
  </si>
  <si>
    <t>2022_rollsroyce_ghost</t>
  </si>
  <si>
    <t>Wraith</t>
  </si>
  <si>
    <t>2022_rollsroyce_wraith</t>
  </si>
  <si>
    <t>Dawn</t>
  </si>
  <si>
    <t>2022_rollsroyce_dawn</t>
  </si>
  <si>
    <t>Cullinan</t>
  </si>
  <si>
    <t>2022_rollsroyce_cullinan</t>
  </si>
  <si>
    <t>Bugatti Automobiles S.A.S.</t>
  </si>
  <si>
    <t>Bugatti</t>
  </si>
  <si>
    <t>Chiron</t>
  </si>
  <si>
    <t>2022_bugatti_chiron</t>
  </si>
  <si>
    <t>N/A</t>
  </si>
  <si>
    <t>F</t>
  </si>
  <si>
    <t>Chiron Pur Sport</t>
  </si>
  <si>
    <t>Chiron Super Sport</t>
  </si>
  <si>
    <t>FCA</t>
  </si>
  <si>
    <t>Alfa Romeo</t>
  </si>
  <si>
    <t>4C</t>
  </si>
  <si>
    <t>2022_alfaromeo_4c</t>
  </si>
  <si>
    <t>95% I</t>
  </si>
  <si>
    <t>Modena Italy</t>
  </si>
  <si>
    <t>I</t>
  </si>
  <si>
    <t>Giulia</t>
  </si>
  <si>
    <t>2022_alfaromeo_giulia</t>
  </si>
  <si>
    <t>69% I</t>
  </si>
  <si>
    <t>Cassino Italy</t>
  </si>
  <si>
    <t>Stelvio</t>
  </si>
  <si>
    <t>2022_alfaromeo_stelvio</t>
  </si>
  <si>
    <t>55% I</t>
  </si>
  <si>
    <t>13% F</t>
  </si>
  <si>
    <t>Chrysler</t>
  </si>
  <si>
    <t>2022_chrysler_300</t>
  </si>
  <si>
    <t>19% M</t>
  </si>
  <si>
    <t>Brampton ON Canada</t>
  </si>
  <si>
    <t>US (3.6L)</t>
  </si>
  <si>
    <t>M (3.6L, 5.7L)</t>
  </si>
  <si>
    <t>Pacifica</t>
  </si>
  <si>
    <t>2022_chrysler_pacifica</t>
  </si>
  <si>
    <t>21% M</t>
  </si>
  <si>
    <t>Windsor ON Canada</t>
  </si>
  <si>
    <t xml:space="preserve">M  </t>
  </si>
  <si>
    <t>Voyager</t>
  </si>
  <si>
    <t>2022_chrysler_voyager</t>
  </si>
  <si>
    <t>23% M</t>
  </si>
  <si>
    <t>Dodge</t>
  </si>
  <si>
    <t>Challenger</t>
  </si>
  <si>
    <t>2022_dodge_challenger</t>
  </si>
  <si>
    <t>M (Manual)             G(8 SPD HP90)</t>
  </si>
  <si>
    <t>Charger</t>
  </si>
  <si>
    <t>2022_dodge_charger</t>
  </si>
  <si>
    <t>G(8 SPD HP90)</t>
  </si>
  <si>
    <t>Durango</t>
  </si>
  <si>
    <t>2022_dodge_durango</t>
  </si>
  <si>
    <t>Detroit Ml USA</t>
  </si>
  <si>
    <t>G (8 SPD 8HP70)</t>
  </si>
  <si>
    <t>GrandCaravan</t>
  </si>
  <si>
    <t>2022_dodge_grandcaravan</t>
  </si>
  <si>
    <t>14% M</t>
  </si>
  <si>
    <t>Journey</t>
  </si>
  <si>
    <t>2022_dodge_journey</t>
  </si>
  <si>
    <t>69% M</t>
  </si>
  <si>
    <t>Toluca Mexico</t>
  </si>
  <si>
    <t>Fiat</t>
  </si>
  <si>
    <t>500L</t>
  </si>
  <si>
    <t>2022_fiat_500l</t>
  </si>
  <si>
    <t>21% Serbia</t>
  </si>
  <si>
    <t>19% I</t>
  </si>
  <si>
    <t>Kragujevac Serbia</t>
  </si>
  <si>
    <t>500X</t>
  </si>
  <si>
    <t>2022_fiat_500x</t>
  </si>
  <si>
    <t>62% I</t>
  </si>
  <si>
    <t>Melfi Italy</t>
  </si>
  <si>
    <t>Jeep</t>
  </si>
  <si>
    <t>Cherokee</t>
  </si>
  <si>
    <t>2022_jeep_cherokee</t>
  </si>
  <si>
    <t>Belvidere IL USA</t>
  </si>
  <si>
    <t>I (2.0L)</t>
  </si>
  <si>
    <t>Compass</t>
  </si>
  <si>
    <t>2022_jeep_compass</t>
  </si>
  <si>
    <t>68% M</t>
  </si>
  <si>
    <t>US (9SPD)</t>
  </si>
  <si>
    <t>J (Manual)</t>
  </si>
  <si>
    <t>Gladiator</t>
  </si>
  <si>
    <t>2022_jeep_gladiator</t>
  </si>
  <si>
    <t>Truck</t>
  </si>
  <si>
    <t>Toledo OH USA</t>
  </si>
  <si>
    <t>I (3.0L Diesel)</t>
  </si>
  <si>
    <t>US or M (3.6L)</t>
  </si>
  <si>
    <t>G (8HP75)        US</t>
  </si>
  <si>
    <t>Grand Cherokee</t>
  </si>
  <si>
    <t>2022_jeep_grandcherokee</t>
  </si>
  <si>
    <t>G (8HP50)</t>
  </si>
  <si>
    <t>Grand Cherokee L</t>
  </si>
  <si>
    <t>24% M</t>
  </si>
  <si>
    <t>M (5.7L)</t>
  </si>
  <si>
    <t>US or M (3.6L)    US or I (2.0L)</t>
  </si>
  <si>
    <t>G (8HP75 &amp; 8HP75PH)</t>
  </si>
  <si>
    <t>Grand Wagoneer</t>
  </si>
  <si>
    <t>2022_jeep_grandwagoneer</t>
  </si>
  <si>
    <t>32% M</t>
  </si>
  <si>
    <t>Renegade</t>
  </si>
  <si>
    <t>2022_jeep_renegade</t>
  </si>
  <si>
    <t>63% I</t>
  </si>
  <si>
    <t>PL (1.3L)</t>
  </si>
  <si>
    <t>Fiat Chrysler</t>
  </si>
  <si>
    <t xml:space="preserve">Wrangler  </t>
  </si>
  <si>
    <t>2022_jeep_wrangler</t>
  </si>
  <si>
    <t>20% M</t>
  </si>
  <si>
    <t>US or I (2.0L)</t>
  </si>
  <si>
    <t>M                        I (3.0 Diesel)</t>
  </si>
  <si>
    <t>US                             J (Manual)</t>
  </si>
  <si>
    <t>RAM</t>
  </si>
  <si>
    <t>Ram 1500 Pickup</t>
  </si>
  <si>
    <t>2022_ram_1500</t>
  </si>
  <si>
    <t>28% M</t>
  </si>
  <si>
    <t>Sterling Heights MI USA</t>
  </si>
  <si>
    <t>M (5.7L, 6,2L)             I (3.0L Diesel)</t>
  </si>
  <si>
    <t>Ram 1500 CLASSIC</t>
  </si>
  <si>
    <t>2022_ram_1500classic</t>
  </si>
  <si>
    <t>25% M</t>
  </si>
  <si>
    <t xml:space="preserve">Warren MI USA </t>
  </si>
  <si>
    <t>G (8HP70)</t>
  </si>
  <si>
    <t>40% M</t>
  </si>
  <si>
    <t>Saltillo Mexico (Reg. Cab)</t>
  </si>
  <si>
    <t>Promaster City</t>
  </si>
  <si>
    <t>2022_ram_promaster</t>
  </si>
  <si>
    <t>44% T</t>
  </si>
  <si>
    <t>18% I</t>
  </si>
  <si>
    <t>Bursa Turkey</t>
  </si>
  <si>
    <t>Mazda</t>
  </si>
  <si>
    <t>Spider  124</t>
  </si>
  <si>
    <t>2022_mazda_spider</t>
  </si>
  <si>
    <t>Maserati</t>
  </si>
  <si>
    <t>Levante</t>
  </si>
  <si>
    <t>2022_maserati_levante</t>
  </si>
  <si>
    <t>71% I</t>
  </si>
  <si>
    <t>Ghibli</t>
  </si>
  <si>
    <t>2022_maserati_ghibli</t>
  </si>
  <si>
    <t>75% I</t>
  </si>
  <si>
    <t>Quattroporte</t>
  </si>
  <si>
    <t>2022_maserati_quattroporte</t>
  </si>
  <si>
    <t>76% I</t>
  </si>
  <si>
    <t>MC20</t>
  </si>
  <si>
    <t>2022_maserati_mc20</t>
  </si>
  <si>
    <t>80% I</t>
  </si>
  <si>
    <t xml:space="preserve">U </t>
  </si>
  <si>
    <t>Ford Motor Company</t>
  </si>
  <si>
    <t>Ford</t>
  </si>
  <si>
    <t>Bronco</t>
  </si>
  <si>
    <t>2022_ford_bronco</t>
  </si>
  <si>
    <t>CHN (7SPD)</t>
  </si>
  <si>
    <t>US (10 SPD)</t>
  </si>
  <si>
    <t>Bronco Sport</t>
  </si>
  <si>
    <t>2022_ford_broncosport</t>
  </si>
  <si>
    <t>67% MX</t>
  </si>
  <si>
    <t>MX</t>
  </si>
  <si>
    <t>ESP (2.0L)</t>
  </si>
  <si>
    <t>MX (1.5L)</t>
  </si>
  <si>
    <t>EcoSport</t>
  </si>
  <si>
    <t>2022_ford_ecosport</t>
  </si>
  <si>
    <t>54% IN</t>
  </si>
  <si>
    <t>IN</t>
  </si>
  <si>
    <t>US (2.0L)</t>
  </si>
  <si>
    <t>Edge</t>
  </si>
  <si>
    <t>2022_ford_edge</t>
  </si>
  <si>
    <t>20% MX</t>
  </si>
  <si>
    <t>CN</t>
  </si>
  <si>
    <t>MX (2.7L)</t>
  </si>
  <si>
    <t>Escape</t>
  </si>
  <si>
    <t>2022_ford_escape</t>
  </si>
  <si>
    <t>27% MX</t>
  </si>
  <si>
    <t>MX (2.5L, 1.5L)</t>
  </si>
  <si>
    <t>30% MX</t>
  </si>
  <si>
    <t>MX (2.5L)</t>
  </si>
  <si>
    <t>Expedition</t>
  </si>
  <si>
    <t>2022_ford_expedition</t>
  </si>
  <si>
    <t xml:space="preserve">US  </t>
  </si>
  <si>
    <t>Explorer</t>
  </si>
  <si>
    <t>2022_ford_explorer</t>
  </si>
  <si>
    <t>15% MX</t>
  </si>
  <si>
    <t>F150</t>
  </si>
  <si>
    <t>2022_ford_f150</t>
  </si>
  <si>
    <t>MX (3.5L)</t>
  </si>
  <si>
    <t>US (2.7L, 3.3L)</t>
  </si>
  <si>
    <t>US (5.0L)</t>
  </si>
  <si>
    <t>UK (3.0L)</t>
  </si>
  <si>
    <t>Fiesta</t>
  </si>
  <si>
    <t>2022_ford_fiesta</t>
  </si>
  <si>
    <t>Ranger</t>
  </si>
  <si>
    <t>2022_ford_ranger</t>
  </si>
  <si>
    <t>Fusion</t>
  </si>
  <si>
    <t>2022_ford_fusion</t>
  </si>
  <si>
    <t>55% MX</t>
  </si>
  <si>
    <t>UK (1.5L)</t>
  </si>
  <si>
    <t>ESP (2.3L)</t>
  </si>
  <si>
    <t>MX (2.5L, 2.0L e)</t>
  </si>
  <si>
    <t>US (2.7L)</t>
  </si>
  <si>
    <t>Ford GT</t>
  </si>
  <si>
    <t>2022_ford_gt</t>
  </si>
  <si>
    <t>GER</t>
  </si>
  <si>
    <t>Mustang Mach-E</t>
  </si>
  <si>
    <t>80% MX</t>
  </si>
  <si>
    <t>Maverick</t>
  </si>
  <si>
    <t>2022_ford_maverick</t>
  </si>
  <si>
    <t>Mustang</t>
  </si>
  <si>
    <t>2022_ford_mustang</t>
  </si>
  <si>
    <t>ESP (2.3)</t>
  </si>
  <si>
    <t>CH (MAN)</t>
  </si>
  <si>
    <t>US (AUTO)</t>
  </si>
  <si>
    <t>CH</t>
  </si>
  <si>
    <t>US (5.2)</t>
  </si>
  <si>
    <t>Transit Connect</t>
  </si>
  <si>
    <t>2022_ford_transit</t>
  </si>
  <si>
    <t>50% ESP</t>
  </si>
  <si>
    <t>ESP</t>
  </si>
  <si>
    <t>Lincoln</t>
  </si>
  <si>
    <t>Corsair</t>
  </si>
  <si>
    <t>2022_lincoln_corsair</t>
  </si>
  <si>
    <t>Continental</t>
  </si>
  <si>
    <t>2022_lincoln_continental</t>
  </si>
  <si>
    <t>US (2.7L, 3.7L)</t>
  </si>
  <si>
    <t>MX (3.0L)</t>
  </si>
  <si>
    <t>Aviator</t>
  </si>
  <si>
    <t>2022_lincoln_aviator</t>
  </si>
  <si>
    <t>16% MX</t>
  </si>
  <si>
    <t>MX (HEV)</t>
  </si>
  <si>
    <t>MKC</t>
  </si>
  <si>
    <t>2022_lincoln_mkc</t>
  </si>
  <si>
    <t>Nautilus</t>
  </si>
  <si>
    <t>2022_lincoln_nautilus</t>
  </si>
  <si>
    <t>MKZ</t>
  </si>
  <si>
    <t>2022_lincoln_mkz</t>
  </si>
  <si>
    <t>60% MX</t>
  </si>
  <si>
    <t>US (3.0L)</t>
  </si>
  <si>
    <t>MX (2.0L e)</t>
  </si>
  <si>
    <t>Navigator</t>
  </si>
  <si>
    <t>2022_lincoln_navigator</t>
  </si>
  <si>
    <t>General Motors LLC</t>
  </si>
  <si>
    <t>Buick</t>
  </si>
  <si>
    <t>Envision</t>
  </si>
  <si>
    <t>2022_buick_envision</t>
  </si>
  <si>
    <t>94% CH</t>
  </si>
  <si>
    <t>Cadillac</t>
  </si>
  <si>
    <t>Escalade</t>
  </si>
  <si>
    <t>2022_cadillac_escalade</t>
  </si>
  <si>
    <t xml:space="preserve">38% M </t>
  </si>
  <si>
    <t>Chevrolet</t>
  </si>
  <si>
    <t>Equinox</t>
  </si>
  <si>
    <t>2022_chevrolet_equinox</t>
  </si>
  <si>
    <t>Tahoe, Suburban</t>
  </si>
  <si>
    <t>2022_chevrolet_tahoe</t>
  </si>
  <si>
    <t>38% M</t>
  </si>
  <si>
    <t>GMC</t>
  </si>
  <si>
    <t>Terrain</t>
  </si>
  <si>
    <t>2022_gmc_terrain</t>
  </si>
  <si>
    <t>Yukon, Yukon EXT</t>
  </si>
  <si>
    <t>2022_gmc_yukon</t>
  </si>
  <si>
    <t>GM LLC</t>
  </si>
  <si>
    <t>Trailblazer</t>
  </si>
  <si>
    <t>2022_chevrolet_trailblazer</t>
  </si>
  <si>
    <t xml:space="preserve">44% Korea </t>
  </si>
  <si>
    <t>29% M</t>
  </si>
  <si>
    <t>K</t>
  </si>
  <si>
    <t>Encore GX</t>
  </si>
  <si>
    <t>2022_buick_encore</t>
  </si>
  <si>
    <t>Blazer</t>
  </si>
  <si>
    <t>2022_chevrolet_blazer</t>
  </si>
  <si>
    <t>M, Ramos Arizpe</t>
  </si>
  <si>
    <t>Traverse</t>
  </si>
  <si>
    <t>2022_chevrolet_traverse</t>
  </si>
  <si>
    <t>US, Lansing, MI</t>
  </si>
  <si>
    <t>Enclave</t>
  </si>
  <si>
    <t>2022_buick_enclave</t>
  </si>
  <si>
    <t>Acadia</t>
  </si>
  <si>
    <t>2022_gmc_acadia</t>
  </si>
  <si>
    <t>US, Spring Hill, TN</t>
  </si>
  <si>
    <t>XT5</t>
  </si>
  <si>
    <t>2022_cadillac_xt5</t>
  </si>
  <si>
    <t>XT6</t>
  </si>
  <si>
    <t>2022_cadillac_xt6</t>
  </si>
  <si>
    <t>Malibu</t>
  </si>
  <si>
    <t>2022_chevrolet_malibu</t>
  </si>
  <si>
    <t>US, Kansas City, KA</t>
  </si>
  <si>
    <t>XT4</t>
  </si>
  <si>
    <t>2022_cadillac_xt4</t>
  </si>
  <si>
    <t>Regal</t>
  </si>
  <si>
    <t>2022_buick_regal</t>
  </si>
  <si>
    <t>25% Germany</t>
  </si>
  <si>
    <t>23% Vietnam</t>
  </si>
  <si>
    <t xml:space="preserve">G, Russelsheim </t>
  </si>
  <si>
    <t xml:space="preserve">Encore </t>
  </si>
  <si>
    <t>63% Korea</t>
  </si>
  <si>
    <t>K, Bupyeong</t>
  </si>
  <si>
    <t>Trax</t>
  </si>
  <si>
    <t>2022_chevrolet_trax</t>
  </si>
  <si>
    <t>62% Korea</t>
  </si>
  <si>
    <t>Sonic</t>
  </si>
  <si>
    <t>2022_chevrolet_sonic</t>
  </si>
  <si>
    <t>19% Mexico</t>
  </si>
  <si>
    <t>US, Lake Orion, MI</t>
  </si>
  <si>
    <t>Spark</t>
  </si>
  <si>
    <t>2022_chevrolet_spark</t>
  </si>
  <si>
    <t>76% Korea</t>
  </si>
  <si>
    <t>K, Changwon</t>
  </si>
  <si>
    <t>Colorado</t>
  </si>
  <si>
    <t>2022_chevrolet_colorado</t>
  </si>
  <si>
    <t>T</t>
  </si>
  <si>
    <t>US, Wentzville, MO</t>
  </si>
  <si>
    <t>TH</t>
  </si>
  <si>
    <t>Canyon</t>
  </si>
  <si>
    <t>2022_gmc_canyon</t>
  </si>
  <si>
    <t>Camaro</t>
  </si>
  <si>
    <t>2022_chevrolet_camaro</t>
  </si>
  <si>
    <t>Bolt</t>
  </si>
  <si>
    <t>2022_chevrolet_boltev</t>
  </si>
  <si>
    <t>57% Korea</t>
  </si>
  <si>
    <t>Silverado</t>
  </si>
  <si>
    <t>2022_chevrolet_silverado</t>
  </si>
  <si>
    <t>38% Mexico</t>
  </si>
  <si>
    <t>US, Roanoke, IN</t>
  </si>
  <si>
    <t>M, Silao</t>
  </si>
  <si>
    <t>Sierra</t>
  </si>
  <si>
    <t>2022_gmc_sierra</t>
  </si>
  <si>
    <t>CT6</t>
  </si>
  <si>
    <t>2022_cadillac_ct6</t>
  </si>
  <si>
    <t>25% China</t>
  </si>
  <si>
    <t>22% Mexico</t>
  </si>
  <si>
    <t>US, Detroit/Ham, MI</t>
  </si>
  <si>
    <t>Impala</t>
  </si>
  <si>
    <t>2022_chevrolet_impala</t>
  </si>
  <si>
    <t>26% Mexico</t>
  </si>
  <si>
    <t>CN, Oshawa Ont</t>
  </si>
  <si>
    <t>CT4</t>
  </si>
  <si>
    <t>2022_cadillac_ct4</t>
  </si>
  <si>
    <t>21% China</t>
  </si>
  <si>
    <t>CT5</t>
  </si>
  <si>
    <t>2022_cadillac_ct5</t>
  </si>
  <si>
    <t>Corvette</t>
  </si>
  <si>
    <t>2022_chevrolet_corvette</t>
  </si>
  <si>
    <t>US, Bowling Green, KY</t>
  </si>
  <si>
    <t>Honda Motor Co., Ltd.</t>
  </si>
  <si>
    <t>Acura</t>
  </si>
  <si>
    <t>RDX FWD  A- Spec</t>
  </si>
  <si>
    <t>2022_acura_rdx</t>
  </si>
  <si>
    <t>RDX FWD</t>
  </si>
  <si>
    <t>RDX AWD  A- Spec</t>
  </si>
  <si>
    <t>RDX AWD</t>
  </si>
  <si>
    <t>Honda</t>
  </si>
  <si>
    <t>Ridgeline  AWD</t>
  </si>
  <si>
    <t>2022_honda_ridgeline</t>
  </si>
  <si>
    <t>Ridgeline  FWD</t>
  </si>
  <si>
    <t>Pilot 2WD</t>
  </si>
  <si>
    <t>2022_honda_pilot</t>
  </si>
  <si>
    <t>Pilot AWD</t>
  </si>
  <si>
    <t>Pilot AWD TrailSport</t>
  </si>
  <si>
    <t>Passport 2WD</t>
  </si>
  <si>
    <t>2022_honda_passport</t>
  </si>
  <si>
    <t>Passport AWD</t>
  </si>
  <si>
    <t>MDX FWD</t>
  </si>
  <si>
    <t>2022_acura_mdx</t>
  </si>
  <si>
    <t>MDX AWD</t>
  </si>
  <si>
    <t>MDX AWD Type S</t>
  </si>
  <si>
    <t>15% J</t>
  </si>
  <si>
    <t>Odyssey</t>
  </si>
  <si>
    <t>2022_honda_odyssey</t>
  </si>
  <si>
    <t>NSX  AWD</t>
  </si>
  <si>
    <t>2022_acura_nsx</t>
  </si>
  <si>
    <t>35% J</t>
  </si>
  <si>
    <t>20% UK</t>
  </si>
  <si>
    <t>ILX AWD</t>
  </si>
  <si>
    <t>2022_acura_ilx</t>
  </si>
  <si>
    <t>25% J</t>
  </si>
  <si>
    <t>TLX AWD</t>
  </si>
  <si>
    <t>2022_acura_tlx</t>
  </si>
  <si>
    <t>TLX  AWD A-Spec</t>
  </si>
  <si>
    <t>TLX  FWD</t>
  </si>
  <si>
    <t>TLX  FWD A-Spec</t>
  </si>
  <si>
    <t>TLX  Type-S</t>
  </si>
  <si>
    <t>TLX  Type-S Perf Tire</t>
  </si>
  <si>
    <t>CR-V FWD</t>
  </si>
  <si>
    <t>2022_honda_crv</t>
  </si>
  <si>
    <t>CAN</t>
  </si>
  <si>
    <t>CR-V AWD</t>
  </si>
  <si>
    <t>20% J</t>
  </si>
  <si>
    <t>HR-V FWD</t>
  </si>
  <si>
    <t>2022_honda_hrv</t>
  </si>
  <si>
    <t>40% MX</t>
  </si>
  <si>
    <t xml:space="preserve">15% J    </t>
  </si>
  <si>
    <t>HR-V AWD</t>
  </si>
  <si>
    <t>35% MX</t>
  </si>
  <si>
    <t>Ind</t>
  </si>
  <si>
    <t>Civic  5Dr</t>
  </si>
  <si>
    <t>2022_honda_civic</t>
  </si>
  <si>
    <t>Civic 4D</t>
  </si>
  <si>
    <t>Accord</t>
  </si>
  <si>
    <t>2022_honda_accord</t>
  </si>
  <si>
    <t>Accord Sport/Touring</t>
  </si>
  <si>
    <t>Insight</t>
  </si>
  <si>
    <t>Insight Touring</t>
  </si>
  <si>
    <t>Clarity</t>
  </si>
  <si>
    <t>2022_honda_clarity</t>
  </si>
  <si>
    <t>85% J</t>
  </si>
  <si>
    <t>Hyundai Motor Company</t>
  </si>
  <si>
    <t>Hyundai</t>
  </si>
  <si>
    <t>Accent</t>
  </si>
  <si>
    <t>2022_hyundai_accent</t>
  </si>
  <si>
    <t>35% K</t>
  </si>
  <si>
    <t>Azera</t>
  </si>
  <si>
    <t>2022_hyundai_azera</t>
  </si>
  <si>
    <t>Elantra</t>
  </si>
  <si>
    <t>2022_hyundai_elantra</t>
  </si>
  <si>
    <t>90% K</t>
  </si>
  <si>
    <t>Elantra N</t>
  </si>
  <si>
    <t>2022_hyundai_elantran</t>
  </si>
  <si>
    <t xml:space="preserve">Elantra </t>
  </si>
  <si>
    <t>25% K</t>
  </si>
  <si>
    <t>Elantra HEV</t>
  </si>
  <si>
    <t>2022_hyundai_elantrahybrid</t>
  </si>
  <si>
    <t>85% K</t>
  </si>
  <si>
    <t>Genesis</t>
  </si>
  <si>
    <t>G90</t>
  </si>
  <si>
    <t>2022_genesis_g90</t>
  </si>
  <si>
    <t>80% K</t>
  </si>
  <si>
    <t>G80</t>
  </si>
  <si>
    <t>2022_genesis_g80</t>
  </si>
  <si>
    <t>G70</t>
  </si>
  <si>
    <t>2022_genesis_g70</t>
  </si>
  <si>
    <t>GV70</t>
  </si>
  <si>
    <t>2022_genesis_gv70</t>
  </si>
  <si>
    <t>GV80</t>
  </si>
  <si>
    <t>2022_genesis_gv80</t>
  </si>
  <si>
    <t>Ioniq PHEV</t>
  </si>
  <si>
    <t>2022_hyundai_ioniqhybrid</t>
  </si>
  <si>
    <t>Ioniq 5</t>
  </si>
  <si>
    <t>95% K</t>
  </si>
  <si>
    <t>Ioniq HEV</t>
  </si>
  <si>
    <t>Kona</t>
  </si>
  <si>
    <t>2022_hyundai_kona</t>
  </si>
  <si>
    <t>Kona N</t>
  </si>
  <si>
    <t>2022_hyundai_konan</t>
  </si>
  <si>
    <t>Palisade</t>
  </si>
  <si>
    <t>2022_hyundai_palisade</t>
  </si>
  <si>
    <t>75% K</t>
  </si>
  <si>
    <t>Kona EV</t>
  </si>
  <si>
    <t>2022_hyundai_konaev</t>
  </si>
  <si>
    <t>Santa Fe Sport</t>
  </si>
  <si>
    <t>2022_hyundai_santafe</t>
  </si>
  <si>
    <t xml:space="preserve">Santa Fe </t>
  </si>
  <si>
    <t>40% K</t>
  </si>
  <si>
    <t>Santa Fe HEV</t>
  </si>
  <si>
    <t>2022_hyundai_santafehybrid</t>
  </si>
  <si>
    <t>Santa Fe PHEV</t>
  </si>
  <si>
    <t>Sonata HEV</t>
  </si>
  <si>
    <t>2022_hyundai_sonatahybrid</t>
  </si>
  <si>
    <t>Sonata</t>
  </si>
  <si>
    <t>2022_hyundai_sonata</t>
  </si>
  <si>
    <t>Sorento</t>
  </si>
  <si>
    <t>2022_kia_sorento</t>
  </si>
  <si>
    <t>30% K</t>
  </si>
  <si>
    <t>Tucson</t>
  </si>
  <si>
    <t>2022_hyundai_tucson</t>
  </si>
  <si>
    <t>Tucson Hybrid</t>
  </si>
  <si>
    <t>2022_hyundai_tucsonhybrid</t>
  </si>
  <si>
    <t>Tucson PHEV</t>
  </si>
  <si>
    <t>Veloster</t>
  </si>
  <si>
    <t>2022_hyundai_veloster</t>
  </si>
  <si>
    <t>Veloster N</t>
  </si>
  <si>
    <t>2022_hyundai_velostern</t>
  </si>
  <si>
    <t>Sonata Hybrid</t>
  </si>
  <si>
    <t>Nexo</t>
  </si>
  <si>
    <t>Venue</t>
  </si>
  <si>
    <t>2022_hyundai_venue</t>
  </si>
  <si>
    <t>Jaguar Land Rover Limited</t>
  </si>
  <si>
    <t>Jaguar</t>
  </si>
  <si>
    <t>F-PACE (2.0t)</t>
  </si>
  <si>
    <t>2022_jaguar_fpace</t>
  </si>
  <si>
    <t>61% UK</t>
  </si>
  <si>
    <t>F-PACE (3.0t)</t>
  </si>
  <si>
    <t>F-PACE - SVR</t>
  </si>
  <si>
    <t>11% G</t>
  </si>
  <si>
    <t>F-TYPE Automatic Coupe RWD (V8)</t>
  </si>
  <si>
    <t>2022_jaguar_ftype</t>
  </si>
  <si>
    <t>41% UK</t>
  </si>
  <si>
    <t>F-TYPE Automatic Coupe AWD (V8)</t>
  </si>
  <si>
    <t>F-TYPE Automatic Convertible RWD (V8)</t>
  </si>
  <si>
    <t>F-TYPE Automatic Convertible AWD (V8)</t>
  </si>
  <si>
    <t>F-TYPE Checkered Flag LE Automatic AWD Coupe
(V6 - 380 HP)</t>
  </si>
  <si>
    <t>65% United Kingdom</t>
  </si>
  <si>
    <t>18% Germany</t>
  </si>
  <si>
    <t>F-TYPE R Coupe (AWD) (V8 - 550 HP)</t>
  </si>
  <si>
    <t>66% United Kingdom</t>
  </si>
  <si>
    <t>20% Germany</t>
  </si>
  <si>
    <t>F-TYPE SVR Coupe (AWD) (V8 - 575 HP)</t>
  </si>
  <si>
    <t>I-PACE EV400 S
(394hp Electric Motors/90kWh Battery)</t>
  </si>
  <si>
    <t>74% Poland</t>
  </si>
  <si>
    <t>AU</t>
  </si>
  <si>
    <t>P</t>
  </si>
  <si>
    <t>I-PACE EV400 Waymo
(394hp Electric Motors/90kWh Battery)</t>
  </si>
  <si>
    <t>I-PACE EV400 HSE
(394hp Electric Motors/90kWh Battery)</t>
  </si>
  <si>
    <t>XJ R-Sport - RWD</t>
  </si>
  <si>
    <t>2022_jaguar_xj</t>
  </si>
  <si>
    <t>XJ R-Sport - AWD</t>
  </si>
  <si>
    <t>XJ Portfolio - RWD</t>
  </si>
  <si>
    <t>XJ Portfolio - AWD</t>
  </si>
  <si>
    <t>XJ Supercharged - SWB</t>
  </si>
  <si>
    <t>XJ Supercharged - LWB</t>
  </si>
  <si>
    <t>XJR - SWB</t>
  </si>
  <si>
    <t>2022_jaguar_xjr</t>
  </si>
  <si>
    <t>XJR - LWB</t>
  </si>
  <si>
    <t>XF - RWD</t>
  </si>
  <si>
    <t>2022_jaguar_xf</t>
  </si>
  <si>
    <t>50% UK</t>
  </si>
  <si>
    <t>43% G</t>
  </si>
  <si>
    <t>XF - AWD</t>
  </si>
  <si>
    <t>46% UK</t>
  </si>
  <si>
    <t>XF - 30t RWD</t>
  </si>
  <si>
    <t>XF - 30t AWD</t>
  </si>
  <si>
    <t>XF - S AWD</t>
  </si>
  <si>
    <t>47% G</t>
  </si>
  <si>
    <t>XF - 30t Sportbrake AWD</t>
  </si>
  <si>
    <t>43% UK</t>
  </si>
  <si>
    <t>XF - S Sportbrake AWD</t>
  </si>
  <si>
    <t>51%G</t>
  </si>
  <si>
    <t>XE - 25t RWD</t>
  </si>
  <si>
    <t>2022_jaguar_xe</t>
  </si>
  <si>
    <t>XE - 25t AWD</t>
  </si>
  <si>
    <t>39% UK</t>
  </si>
  <si>
    <t>XE - 30t AWD</t>
  </si>
  <si>
    <t>Land Rover</t>
  </si>
  <si>
    <t>Defender - 90</t>
  </si>
  <si>
    <t>2022_landrover_defender</t>
  </si>
  <si>
    <t>31% UK</t>
  </si>
  <si>
    <t>Defender - 110</t>
  </si>
  <si>
    <t>Discovery Sport</t>
  </si>
  <si>
    <t>2022_landrover_discoverysport</t>
  </si>
  <si>
    <t>Range Rover Evoque</t>
  </si>
  <si>
    <t>2022_landrover_rangeroverevoque</t>
  </si>
  <si>
    <t>54% UK</t>
  </si>
  <si>
    <t xml:space="preserve">15% G </t>
  </si>
  <si>
    <t>Range Rover Velar
(2.0L 14 Gasoline Turbocharged)</t>
  </si>
  <si>
    <t>2022_landrover_rangerovervelar</t>
  </si>
  <si>
    <t>60% UK</t>
  </si>
  <si>
    <t>Range Rover Velar
(3.0L V6 Gasoline Turbocharged)</t>
  </si>
  <si>
    <t>Range Rover Velar
(5.0L V8 Gasoline Supercharged)</t>
  </si>
  <si>
    <t>Range Rover 2.0L  PHEV  (Gasoline)  Standard Wheelbase</t>
  </si>
  <si>
    <t>2022_landrover_rangeroverhybrid</t>
  </si>
  <si>
    <t>8% G</t>
  </si>
  <si>
    <t>Range Rover 3.0L  Supercharged   (Gasoline)  Standard Wheelbase</t>
  </si>
  <si>
    <t>2022_landrover_rangerover</t>
  </si>
  <si>
    <t>Range Rover 3.0L  Turbocharged (Gasoline)    Standard Wheelbase</t>
  </si>
  <si>
    <t>72% UK</t>
  </si>
  <si>
    <t>Range Rover 5.0L  Supercharged   (Gasoline)  Standard Wheelbase</t>
  </si>
  <si>
    <t>Range Rover 5.0 L  Supercharged   (Gasoline)  Long Wheelbase</t>
  </si>
  <si>
    <t>Range Rover Sport 2.0L PHEV (Gasoline)</t>
  </si>
  <si>
    <t>2022_landrover_rangeroversporthybrid</t>
  </si>
  <si>
    <t>Range Rover Sport 3.0L Turbocharged (Gasoline)</t>
  </si>
  <si>
    <t>2022_landrover_rangeroversport</t>
  </si>
  <si>
    <t>Range Rover Sport 3.0L Turbocharged   (Diesel)</t>
  </si>
  <si>
    <t>69% UK</t>
  </si>
  <si>
    <t>17% G</t>
  </si>
  <si>
    <t>Range Rover Sport 5.0L Supercharged (Gasoline)</t>
  </si>
  <si>
    <t>Discovery 2.0L Turbocharged</t>
  </si>
  <si>
    <t>2022_landrover_discovery</t>
  </si>
  <si>
    <t>Discovery 3.0L Turbocharged</t>
  </si>
  <si>
    <t>Discovery 3.0L Turbocharged (Diesel)</t>
  </si>
  <si>
    <t>68% UK</t>
  </si>
  <si>
    <t>E-Pace (I4-246  HP)</t>
  </si>
  <si>
    <t>2022_jaguar_epace</t>
  </si>
  <si>
    <t>21% UK</t>
  </si>
  <si>
    <t>E-Pace (I4-296  HP)</t>
  </si>
  <si>
    <t>Kia Motors</t>
  </si>
  <si>
    <t>Kia</t>
  </si>
  <si>
    <t>EV6 Electric</t>
  </si>
  <si>
    <t>Forte</t>
  </si>
  <si>
    <t>2022_kia_forte</t>
  </si>
  <si>
    <t>45% M</t>
  </si>
  <si>
    <t xml:space="preserve">M </t>
  </si>
  <si>
    <t>K900</t>
  </si>
  <si>
    <t>2022_kia_k900</t>
  </si>
  <si>
    <t>Niro</t>
  </si>
  <si>
    <t>2022_kia_niro</t>
  </si>
  <si>
    <t>Niro Electric</t>
  </si>
  <si>
    <t>2022_kia_niroev</t>
  </si>
  <si>
    <t>65% K</t>
  </si>
  <si>
    <t>30% CH</t>
  </si>
  <si>
    <t>Niro Hybrid</t>
  </si>
  <si>
    <t>2022_kia_nirohybrid</t>
  </si>
  <si>
    <t>Niro Plug-In Hybrid</t>
  </si>
  <si>
    <t>Rio</t>
  </si>
  <si>
    <t>2022_kia_rio</t>
  </si>
  <si>
    <t>55% M</t>
  </si>
  <si>
    <t>Carnival</t>
  </si>
  <si>
    <t>2022_kia_carnival</t>
  </si>
  <si>
    <t>Seltos</t>
  </si>
  <si>
    <t>2022_kia_seltos</t>
  </si>
  <si>
    <t>Sorento Hybrid</t>
  </si>
  <si>
    <t>2022_kia_sorentohybrid</t>
  </si>
  <si>
    <t>Sorento PHEV</t>
  </si>
  <si>
    <t>Sportage</t>
  </si>
  <si>
    <t>2022_kia_sportage</t>
  </si>
  <si>
    <t>Stinger</t>
  </si>
  <si>
    <t>2022_kia_stinger</t>
  </si>
  <si>
    <t>Soul</t>
  </si>
  <si>
    <t>2022_kia_soul</t>
  </si>
  <si>
    <t>Soul EV</t>
  </si>
  <si>
    <t>Telluride</t>
  </si>
  <si>
    <t>2022_kia_telluride</t>
  </si>
  <si>
    <t>Lotus Cars Ltd.</t>
  </si>
  <si>
    <t>Lotus</t>
  </si>
  <si>
    <t>Evora</t>
  </si>
  <si>
    <t>2022_lotus_evora</t>
  </si>
  <si>
    <t>Lamborghini</t>
  </si>
  <si>
    <t xml:space="preserve">Huracan EVO </t>
  </si>
  <si>
    <t>2022_lamborghini_huracan</t>
  </si>
  <si>
    <t>15% I</t>
  </si>
  <si>
    <t>Huracan STO</t>
  </si>
  <si>
    <t>43% I</t>
  </si>
  <si>
    <t>Aventador SJ</t>
  </si>
  <si>
    <t>2022_lamborghini_aventador</t>
  </si>
  <si>
    <t>37% I</t>
  </si>
  <si>
    <t>Aventador SVJ</t>
  </si>
  <si>
    <t>49% I</t>
  </si>
  <si>
    <t>Sian</t>
  </si>
  <si>
    <t>2022_lamborghini_sian</t>
  </si>
  <si>
    <t>45% I</t>
  </si>
  <si>
    <t>31% G</t>
  </si>
  <si>
    <t>URUS</t>
  </si>
  <si>
    <t>2022_lamborghini_urus</t>
  </si>
  <si>
    <t>Mazda Motor Corporation</t>
  </si>
  <si>
    <t>Scion</t>
  </si>
  <si>
    <t>iA  AT</t>
  </si>
  <si>
    <t>2022_scion_ia</t>
  </si>
  <si>
    <t>iA   MT</t>
  </si>
  <si>
    <t>Yaris   AT</t>
  </si>
  <si>
    <t>2022_toyota_yaris</t>
  </si>
  <si>
    <t>Yaris IA  / AT</t>
  </si>
  <si>
    <t>Yaris  MT</t>
  </si>
  <si>
    <t>CX-3</t>
  </si>
  <si>
    <t>2022_mazda_cx3</t>
  </si>
  <si>
    <t>CX-30</t>
  </si>
  <si>
    <t>2022_mazda_cx30</t>
  </si>
  <si>
    <t>65% M</t>
  </si>
  <si>
    <t>MX-30</t>
  </si>
  <si>
    <t>90% J</t>
  </si>
  <si>
    <t>CX-5</t>
  </si>
  <si>
    <t>2022_mazda_cx5</t>
  </si>
  <si>
    <t>CX-9</t>
  </si>
  <si>
    <t>2022_mazda_cx9</t>
  </si>
  <si>
    <t xml:space="preserve"> Fiat     124 Spider</t>
  </si>
  <si>
    <t>2022_mazda_fiat</t>
  </si>
  <si>
    <t>Mazda2</t>
  </si>
  <si>
    <t>2022_mazda_2</t>
  </si>
  <si>
    <t xml:space="preserve">70% M </t>
  </si>
  <si>
    <t>Mazda3</t>
  </si>
  <si>
    <t>2022_mazda_3</t>
  </si>
  <si>
    <t>Mazda6</t>
  </si>
  <si>
    <t>2022_mazda_6</t>
  </si>
  <si>
    <t>MX-5  Miata</t>
  </si>
  <si>
    <t>2022_mazda_mx5miata</t>
  </si>
  <si>
    <t>Mercedes-Benz USA</t>
  </si>
  <si>
    <t>Mercedes-Benz</t>
  </si>
  <si>
    <t>C-Class Sedan (C300/C300-4M)</t>
  </si>
  <si>
    <t>2022_mercedesbenz_c</t>
  </si>
  <si>
    <t>34% SA</t>
  </si>
  <si>
    <t>SA</t>
  </si>
  <si>
    <t>C-Class Sedan (C43)</t>
  </si>
  <si>
    <t>59% G</t>
  </si>
  <si>
    <t>28% SA</t>
  </si>
  <si>
    <t>C-Class Sedan (C63/C63S)</t>
  </si>
  <si>
    <t>C-Class Coupe (C300/C300-4M)</t>
  </si>
  <si>
    <t>C-Class Coupe  (C43)</t>
  </si>
  <si>
    <t>C-Class Coupe  (C63/C63S)</t>
  </si>
  <si>
    <t>C-Class Cabriolet (C300/C300-4M)</t>
  </si>
  <si>
    <t>78% G</t>
  </si>
  <si>
    <t>C-Class Cabriolet  (C43)</t>
  </si>
  <si>
    <t>C-Class Cabriolet (C63/C63S)</t>
  </si>
  <si>
    <t>E-Class Sedan (E350/E350-4M)</t>
  </si>
  <si>
    <t>2022_mercedesbenz_e</t>
  </si>
  <si>
    <t>79% G</t>
  </si>
  <si>
    <t>E-Class Sedan (E450-4M/ AMG E53)</t>
  </si>
  <si>
    <t>E-Class Sedan (E63S)</t>
  </si>
  <si>
    <t>E-Class Wagon (E450-4M)</t>
  </si>
  <si>
    <t>E-Class Wagon (E63S)</t>
  </si>
  <si>
    <t>E-Class Coupe (E450/E450-4M/AMG E53)</t>
  </si>
  <si>
    <t>E-Class Cabriolet (E450/E450-4M/AMG E53)</t>
  </si>
  <si>
    <t>77% G</t>
  </si>
  <si>
    <t>CLS Coupe (CLS450/CLS450-4M/AMG CLS53)</t>
  </si>
  <si>
    <t>2022_mercedesbenz_cls</t>
  </si>
  <si>
    <t>EQS Sedan (EQS 450+/EQS 580-4M/EQS 53)</t>
  </si>
  <si>
    <t>80% G</t>
  </si>
  <si>
    <t>S-Class Sedan (S500-4M)</t>
  </si>
  <si>
    <t>2022_mercedesbenz_s</t>
  </si>
  <si>
    <t>S-Class Sedan (S580-4M)</t>
  </si>
  <si>
    <t>S-Class Sedan (S65)</t>
  </si>
  <si>
    <t>S-Class Maybach (S580-4M)</t>
  </si>
  <si>
    <t>76% G</t>
  </si>
  <si>
    <t>S-Class Maybach (S650)</t>
  </si>
  <si>
    <t>S-Class Coupe (S560-4M/S63-4M)</t>
  </si>
  <si>
    <t>84% G</t>
  </si>
  <si>
    <t>S-Class Coupe (S65)</t>
  </si>
  <si>
    <t>S-Class Cabriolet  (S560-4M/S63-4M)</t>
  </si>
  <si>
    <t>S-Class Cabriolet (S65)</t>
  </si>
  <si>
    <t>SL Roadster (SL450)</t>
  </si>
  <si>
    <t>2022_mercedesbenz_sl</t>
  </si>
  <si>
    <t>SL Roadster (SL550)</t>
  </si>
  <si>
    <t>SL Roadster (SL63)</t>
  </si>
  <si>
    <t>SLC Roadster (SLC300)</t>
  </si>
  <si>
    <t>2022_mercedesbenz_slc</t>
  </si>
  <si>
    <t>87% G</t>
  </si>
  <si>
    <t>SLC Roadster (SLC43)</t>
  </si>
  <si>
    <t>CLA Coupe (CLA250/CLA250-4M)</t>
  </si>
  <si>
    <t>2022_mercedesbenz_cla</t>
  </si>
  <si>
    <t>CLA Coupe (CLA45 AMG)</t>
  </si>
  <si>
    <t>CLA Coupe (CLA35 AMG)</t>
  </si>
  <si>
    <t>Smart</t>
  </si>
  <si>
    <t>smart electric coupe</t>
  </si>
  <si>
    <t>2022_smart_smart</t>
  </si>
  <si>
    <t>smart electric cabrio</t>
  </si>
  <si>
    <t>GLA SUV (GLA250/GLA250-4M)</t>
  </si>
  <si>
    <t>2022_mercedesbenz_gla</t>
  </si>
  <si>
    <t>73% G</t>
  </si>
  <si>
    <t>GLA SUV (AMG GLA35 / AMG GLA45)</t>
  </si>
  <si>
    <t>GLC SUV  (GLC300/GLC300-4M)</t>
  </si>
  <si>
    <t>2022_mercedesbenz_glc</t>
  </si>
  <si>
    <t>FN</t>
  </si>
  <si>
    <t>GLC SUV  (GLC300-4M)</t>
  </si>
  <si>
    <t>GLC SUV  (GLC300)</t>
  </si>
  <si>
    <t>GLC SUV  (GLC43-4M)</t>
  </si>
  <si>
    <t>75% G</t>
  </si>
  <si>
    <t>GLC SUV  (GLC63-4M)</t>
  </si>
  <si>
    <t>GLC Coupe (GLC300-4M)</t>
  </si>
  <si>
    <t>GLC Coupe (GLC43)</t>
  </si>
  <si>
    <t>GLC Coupe (GLC63)</t>
  </si>
  <si>
    <t>GLC SUV (GLC300/GLC300-4M)</t>
  </si>
  <si>
    <t>GLC Coupe (GLC63-4M/GLC63S-4M)</t>
  </si>
  <si>
    <t>GLE SUV (GLE350-4M/GLE350)</t>
  </si>
  <si>
    <t>2022_mercedesbenz_gle</t>
  </si>
  <si>
    <t>GLE SUV (GLE450-4M)</t>
  </si>
  <si>
    <t>GLE SUV (GLE580-4M)</t>
  </si>
  <si>
    <t>GLE SUV (GLE63-4M)</t>
  </si>
  <si>
    <t>GLE SUV (GLE53-4M)</t>
  </si>
  <si>
    <t>GLE Coupe (GLE53-4M)</t>
  </si>
  <si>
    <t>34% G</t>
  </si>
  <si>
    <t>GLE Coupe (GLE63S)</t>
  </si>
  <si>
    <t>G-Class SUV (G550/G63)</t>
  </si>
  <si>
    <t>2022_mercedesbenz_g</t>
  </si>
  <si>
    <t>26% AU</t>
  </si>
  <si>
    <t>GLS SUV (GLS450-4M)</t>
  </si>
  <si>
    <t>2022_mercedesbenz_gls</t>
  </si>
  <si>
    <t>GLS SUV (GLS580-4M)</t>
  </si>
  <si>
    <t>GLS SUV (GLS63)</t>
  </si>
  <si>
    <t>GLS SUV (GLS600 Maybach)</t>
  </si>
  <si>
    <t>AMG GT Coupe (AMG GT/AMG GT S/AMG GT R/ AMG GT C)</t>
  </si>
  <si>
    <t>2022_mercedesbenz_amggt</t>
  </si>
  <si>
    <t>AMG GT Roadster (AMG GT/ AMG GT R/ AMG GT C)</t>
  </si>
  <si>
    <t>AMG GT 4-dr Coupe (AMG GT43 / AMG GT53)</t>
  </si>
  <si>
    <t>85% G</t>
  </si>
  <si>
    <t>AMG GT 4-dr Coupe (AMG GT63/ AMG GT63S)</t>
  </si>
  <si>
    <t>A-Class Sedan (A220/ A220-4M)</t>
  </si>
  <si>
    <t>2022_mercedesbenz_a</t>
  </si>
  <si>
    <t>37% MX</t>
  </si>
  <si>
    <t>A-Class Sedan (A35)</t>
  </si>
  <si>
    <t>GLB SUV (GLB250/ GLB250-4M)</t>
  </si>
  <si>
    <t>2022_mercedesbenz_glb</t>
  </si>
  <si>
    <t>Sprinter</t>
  </si>
  <si>
    <t>Metris Cargo</t>
  </si>
  <si>
    <t>47% ESP</t>
  </si>
  <si>
    <t>Metris Passenger</t>
  </si>
  <si>
    <t>Mitsubishi Motors Corporation</t>
  </si>
  <si>
    <t>Mitsubishi</t>
  </si>
  <si>
    <t>Eclipse Cross ES 2WD</t>
  </si>
  <si>
    <t>2022_mitsubishi_eclipsecross</t>
  </si>
  <si>
    <t>96% J</t>
  </si>
  <si>
    <t>Eclipse Cross ES 4WD</t>
  </si>
  <si>
    <t>97% J</t>
  </si>
  <si>
    <t>Eclipse Cross LE 2WD</t>
  </si>
  <si>
    <t>92% J</t>
  </si>
  <si>
    <t>Eclipse Cross LE 4WD</t>
  </si>
  <si>
    <t>94% J</t>
  </si>
  <si>
    <t>Eclipse Cross SE 2WD</t>
  </si>
  <si>
    <t>Eclipse Cross SE 4WD</t>
  </si>
  <si>
    <t>98% J</t>
  </si>
  <si>
    <t>Eclipse Cross SEL 2WD</t>
  </si>
  <si>
    <t>Eclipse Cross SEL 4WD</t>
  </si>
  <si>
    <t>Mirage LE</t>
  </si>
  <si>
    <t>2022_mitsubishi_mirage</t>
  </si>
  <si>
    <t>90% TH</t>
  </si>
  <si>
    <t>Mirage ES M/T</t>
  </si>
  <si>
    <t>89% TH</t>
  </si>
  <si>
    <t>Mirage CVT ES</t>
  </si>
  <si>
    <t>Mirage SE</t>
  </si>
  <si>
    <t>Mirage BE</t>
  </si>
  <si>
    <t>Mirage GT</t>
  </si>
  <si>
    <t>Mirage G4  CVT  ES</t>
  </si>
  <si>
    <t>Mirage G4  MT  ES</t>
  </si>
  <si>
    <t>Mirage G4  LE</t>
  </si>
  <si>
    <t>Mirage G4  SE</t>
  </si>
  <si>
    <t>Mirage G4  BE</t>
  </si>
  <si>
    <t>Outlander ES 2WD</t>
  </si>
  <si>
    <t>2022_mitsubishi_outlander</t>
  </si>
  <si>
    <t>Outlander SE 2WD</t>
  </si>
  <si>
    <t>89% J</t>
  </si>
  <si>
    <t>Outlander SEL 2WD</t>
  </si>
  <si>
    <t>Outlander ES 4WD</t>
  </si>
  <si>
    <t>Outlander SE 4WD</t>
  </si>
  <si>
    <t>88% J</t>
  </si>
  <si>
    <t>Outlander SEL 4WD</t>
  </si>
  <si>
    <t>Outlander PHEV Fleet</t>
  </si>
  <si>
    <t>Outlander PHEV SEL</t>
  </si>
  <si>
    <t>Outlander PHEV LE</t>
  </si>
  <si>
    <t>Outlander PHEV GT</t>
  </si>
  <si>
    <t>Outlander Sport ES 2WD</t>
  </si>
  <si>
    <t>2022_mitsubishi_outlandersport</t>
  </si>
  <si>
    <t>Outlander Sport LE 2WD</t>
  </si>
  <si>
    <t>Outlander Sport 2.0 SE 2WD</t>
  </si>
  <si>
    <t>Outlander Sport 2.0 SE AWC</t>
  </si>
  <si>
    <t>Outlander Sport SE Special Edition 2WD</t>
  </si>
  <si>
    <t>Outlander Sport SE Special Edition AWC</t>
  </si>
  <si>
    <t>Outlander Sport S 2WD</t>
  </si>
  <si>
    <t>Outlander Sport ES 4WD</t>
  </si>
  <si>
    <t>Outlander Sport LE 4WD</t>
  </si>
  <si>
    <t>Outlander Sport 2.0 B&amp;W 2WD</t>
  </si>
  <si>
    <t>Outlander Sport 2.0 B&amp;W AWC</t>
  </si>
  <si>
    <t>Outlander Sport 2.4 GT AWC</t>
  </si>
  <si>
    <t>Outlander Sport 2.4 GT Special Edition AWC</t>
  </si>
  <si>
    <t>Outlander BE 2WD</t>
  </si>
  <si>
    <t>Outlander BE 4WD</t>
  </si>
  <si>
    <t>Nissan North America, Inc</t>
  </si>
  <si>
    <t>Infiniti</t>
  </si>
  <si>
    <t>Q70 Conv &amp; HEV</t>
  </si>
  <si>
    <t>2022_infiniti_q70</t>
  </si>
  <si>
    <t>QX30</t>
  </si>
  <si>
    <t>2022_infiniti_qx30</t>
  </si>
  <si>
    <t>QX50</t>
  </si>
  <si>
    <t>2022_infiniti_qx50</t>
  </si>
  <si>
    <t>QX55</t>
  </si>
  <si>
    <t>2022_infiniti_qx55</t>
  </si>
  <si>
    <t>QX 60</t>
  </si>
  <si>
    <t>2022_infiniti_qx</t>
  </si>
  <si>
    <t>Q50</t>
  </si>
  <si>
    <t>2022_infiniti_q50</t>
  </si>
  <si>
    <t>95% J</t>
  </si>
  <si>
    <t>Q60</t>
  </si>
  <si>
    <t>2022_infiniti_q60</t>
  </si>
  <si>
    <t xml:space="preserve">QX60 HEV 4CYL </t>
  </si>
  <si>
    <t>2022_infiniti_qx60</t>
  </si>
  <si>
    <t>QX60 HEV  6CYL</t>
  </si>
  <si>
    <t>QX70   &amp; Q70 L</t>
  </si>
  <si>
    <t>2022_infiniti_qx70</t>
  </si>
  <si>
    <t>QX80</t>
  </si>
  <si>
    <t>2022_infiniti_qx80</t>
  </si>
  <si>
    <t>Nissan</t>
  </si>
  <si>
    <t>370Z Coupe</t>
  </si>
  <si>
    <t>2022_nissan_370z</t>
  </si>
  <si>
    <t>370Z Roadster</t>
  </si>
  <si>
    <t>60% J</t>
  </si>
  <si>
    <t>Altima 4CYL</t>
  </si>
  <si>
    <t>2022_nissan_altima</t>
  </si>
  <si>
    <t>Altima 4CYL Turbo</t>
  </si>
  <si>
    <t>Armada</t>
  </si>
  <si>
    <t>2022_nissan_armada</t>
  </si>
  <si>
    <t>Frontier</t>
  </si>
  <si>
    <t>2022_nissan_frontier</t>
  </si>
  <si>
    <t>GT-R</t>
  </si>
  <si>
    <t>2022_nissan_gtr</t>
  </si>
  <si>
    <t>100% J</t>
  </si>
  <si>
    <t>Kicks</t>
  </si>
  <si>
    <t>2022_nissan_kicks</t>
  </si>
  <si>
    <t>65% MX</t>
  </si>
  <si>
    <t>Leaf</t>
  </si>
  <si>
    <t>45% J</t>
  </si>
  <si>
    <t>Maxima</t>
  </si>
  <si>
    <t>2022_nissan_maxima</t>
  </si>
  <si>
    <t xml:space="preserve">Murano </t>
  </si>
  <si>
    <t>2022_nissan_murano</t>
  </si>
  <si>
    <t>Murano HEV - 4CY &amp; 6CYL</t>
  </si>
  <si>
    <t>NV200  Cargo</t>
  </si>
  <si>
    <t>2022_nissan_nv200</t>
  </si>
  <si>
    <t>NV200  Taxi NYT</t>
  </si>
  <si>
    <t xml:space="preserve">Pathfinder  </t>
  </si>
  <si>
    <t>2022_nissan_pathfinder</t>
  </si>
  <si>
    <t>Pathfinder HEV - 4CYL &amp; 6CYL</t>
  </si>
  <si>
    <t>Quest</t>
  </si>
  <si>
    <t>2022_nissan_quest</t>
  </si>
  <si>
    <t>Rogue Sport</t>
  </si>
  <si>
    <t>2022_nissan_roguesport</t>
  </si>
  <si>
    <t>Rogue</t>
  </si>
  <si>
    <t>2022_nissan_rogue</t>
  </si>
  <si>
    <t>40% J</t>
  </si>
  <si>
    <t>Sentra</t>
  </si>
  <si>
    <t>2022_nissan_sentra</t>
  </si>
  <si>
    <t>Sentra Turbo</t>
  </si>
  <si>
    <t>Titan</t>
  </si>
  <si>
    <t>2022_nissan_titan</t>
  </si>
  <si>
    <t>Versa Note</t>
  </si>
  <si>
    <t>2022_nissan_versa</t>
  </si>
  <si>
    <t>Versa Sedan</t>
  </si>
  <si>
    <t>Polestar</t>
  </si>
  <si>
    <t>PS1 Aut (8vxl) FWD + ERAD</t>
  </si>
  <si>
    <t>40% CH</t>
  </si>
  <si>
    <t>20% SE</t>
  </si>
  <si>
    <t>SE</t>
  </si>
  <si>
    <t>PS2 (Polestar 2) Single Motor</t>
  </si>
  <si>
    <t>95% CH</t>
  </si>
  <si>
    <t>5% TH</t>
  </si>
  <si>
    <t>PS2 (Polestar 2) Dual Motor</t>
  </si>
  <si>
    <t>Porsche AG</t>
  </si>
  <si>
    <t>Porsche</t>
  </si>
  <si>
    <t>Macan</t>
  </si>
  <si>
    <t>2022_porsche_macan</t>
  </si>
  <si>
    <t>57% Germany</t>
  </si>
  <si>
    <t>Leipzig,
Germany</t>
  </si>
  <si>
    <t>Macan S</t>
  </si>
  <si>
    <t>65% Germany</t>
  </si>
  <si>
    <t>15% Hungary</t>
  </si>
  <si>
    <t>Leipzig,
Germanv</t>
  </si>
  <si>
    <t>Macan GTS</t>
  </si>
  <si>
    <t>66% Germany</t>
  </si>
  <si>
    <t>Macan Turbo</t>
  </si>
  <si>
    <t>68% Germany</t>
  </si>
  <si>
    <t>Cayenne Coupe</t>
  </si>
  <si>
    <t>2022_porsche_cayenne</t>
  </si>
  <si>
    <t>31% Germany</t>
  </si>
  <si>
    <t>29% Slovakia</t>
  </si>
  <si>
    <t>Bratislava,
Slovakia</t>
  </si>
  <si>
    <t>Cayenne S Coupe</t>
  </si>
  <si>
    <t>35% Germany</t>
  </si>
  <si>
    <t>25% Slovakia</t>
  </si>
  <si>
    <t>Cayenne S</t>
  </si>
  <si>
    <t>27% Slovakia</t>
  </si>
  <si>
    <t>Cayenne</t>
  </si>
  <si>
    <t>34% Germany</t>
  </si>
  <si>
    <t>Cayenne GTS Coupe</t>
  </si>
  <si>
    <t>53% Germany</t>
  </si>
  <si>
    <t>21% Slovakia</t>
  </si>
  <si>
    <t>Cayenne GTS</t>
  </si>
  <si>
    <t>54% Germany</t>
  </si>
  <si>
    <t>22% Slovakia</t>
  </si>
  <si>
    <t>Cayenne Turbo</t>
  </si>
  <si>
    <t>51% Germany</t>
  </si>
  <si>
    <t>Cayenne Coupe Turbo</t>
  </si>
  <si>
    <t>50% Germany</t>
  </si>
  <si>
    <t>Cayenne E-Hybrid</t>
  </si>
  <si>
    <t>2022_porsche_cayennehybrid</t>
  </si>
  <si>
    <t>37% Germany</t>
  </si>
  <si>
    <t>24% Slovakia</t>
  </si>
  <si>
    <t>718 Cayman</t>
  </si>
  <si>
    <t>2022_porsche_cayman</t>
  </si>
  <si>
    <t>73% Germany</t>
  </si>
  <si>
    <t>Stuttgart,
Germany</t>
  </si>
  <si>
    <t>Osnabrueck, Germany</t>
  </si>
  <si>
    <t>718 Cayman S</t>
  </si>
  <si>
    <t>718 Cayman T</t>
  </si>
  <si>
    <t>74% Germany</t>
  </si>
  <si>
    <t>718 Boxster</t>
  </si>
  <si>
    <t>2022_porsche_boxster</t>
  </si>
  <si>
    <t>75% Germany</t>
  </si>
  <si>
    <t>718 Boxster S</t>
  </si>
  <si>
    <t>718 Boxster T</t>
  </si>
  <si>
    <t>77% Germany</t>
  </si>
  <si>
    <t>718 Spyder</t>
  </si>
  <si>
    <t>2022_porsche_spyder</t>
  </si>
  <si>
    <t>78% Germany</t>
  </si>
  <si>
    <t>718 Cayman GT4</t>
  </si>
  <si>
    <t>718 Cayman GTS 4.0 (Man)</t>
  </si>
  <si>
    <t>72% Germany</t>
  </si>
  <si>
    <t>718 Boxster GTS 4.0 (Man)</t>
  </si>
  <si>
    <t>718 Cayman GTS 4.0 (auto)</t>
  </si>
  <si>
    <t>718 Boxster GTS 4.0 (auto)</t>
  </si>
  <si>
    <t>911 Carrera</t>
  </si>
  <si>
    <t>2022_porsche_911</t>
  </si>
  <si>
    <t>76% Germany</t>
  </si>
  <si>
    <t>911 Carrera Cabriolet</t>
  </si>
  <si>
    <t>911 Carrera 4</t>
  </si>
  <si>
    <t>911 Carrera 4 Cabriolet</t>
  </si>
  <si>
    <t>911 Carrera S</t>
  </si>
  <si>
    <t>73%Germany</t>
  </si>
  <si>
    <t>911 Carrera S Cabriolet</t>
  </si>
  <si>
    <t>911 Carrera 4S</t>
  </si>
  <si>
    <t>911 Carrera 4S Cabriolet</t>
  </si>
  <si>
    <t>Stuttgart,
Germanv</t>
  </si>
  <si>
    <t>911 Targa 4</t>
  </si>
  <si>
    <t>911 Targa 4S</t>
  </si>
  <si>
    <t>911 Turbo</t>
  </si>
  <si>
    <t xml:space="preserve">911 Turbo S  </t>
  </si>
  <si>
    <t>911 Turbo Cabriolet</t>
  </si>
  <si>
    <t>911 Turbo S Cabriolet</t>
  </si>
  <si>
    <t>Taycan 4S</t>
  </si>
  <si>
    <t>23% Poland</t>
  </si>
  <si>
    <t>Taycan 4S w Perf Pack</t>
  </si>
  <si>
    <t>26% Poland</t>
  </si>
  <si>
    <t>Taycan Turbo</t>
  </si>
  <si>
    <t>Taycan Turbo S</t>
  </si>
  <si>
    <t>56% Germany</t>
  </si>
  <si>
    <t>20% Poland</t>
  </si>
  <si>
    <t>Panamera 4 E-Hybrid</t>
  </si>
  <si>
    <t>2022_porsche_panamerahybrid</t>
  </si>
  <si>
    <t>57%Germany</t>
  </si>
  <si>
    <t>Panamera 4S</t>
  </si>
  <si>
    <t>2022_porsche_panamera</t>
  </si>
  <si>
    <t>60%Germany</t>
  </si>
  <si>
    <t>Panamera GTS</t>
  </si>
  <si>
    <t>69% Germany</t>
  </si>
  <si>
    <t>Panamera Turbo</t>
  </si>
  <si>
    <t>67% Germany</t>
  </si>
  <si>
    <t>Panamera Turbo S E-Hybrid</t>
  </si>
  <si>
    <t>63% Germany</t>
  </si>
  <si>
    <t>Panamera Turbo S E-Hybrid
Executive</t>
  </si>
  <si>
    <t>62% Germany</t>
  </si>
  <si>
    <t>Panamera 4 Sport Turismo</t>
  </si>
  <si>
    <t>61% Germany</t>
  </si>
  <si>
    <t>Panamera 4 E-Hybrid Sport
Tourismo</t>
  </si>
  <si>
    <t>Panamera 4S Sport Turismo</t>
  </si>
  <si>
    <t>Panamera GTS Sport Turismo</t>
  </si>
  <si>
    <t>Subaru</t>
  </si>
  <si>
    <t>Ascent</t>
  </si>
  <si>
    <t>2022_subaru_ascent</t>
  </si>
  <si>
    <t>30% J</t>
  </si>
  <si>
    <t>BRZ</t>
  </si>
  <si>
    <t>2022_subaru_brz</t>
  </si>
  <si>
    <t>Forester</t>
  </si>
  <si>
    <t>2022_subaru_forester</t>
  </si>
  <si>
    <t>80% J</t>
  </si>
  <si>
    <t>Crosstrek</t>
  </si>
  <si>
    <t>2022_subaru_crosstrek</t>
  </si>
  <si>
    <t>Crosstrek Hybrid</t>
  </si>
  <si>
    <t>2022_subaru_crosstrekhybrid</t>
  </si>
  <si>
    <t>Impreza</t>
  </si>
  <si>
    <t>2022_subaru_impreza</t>
  </si>
  <si>
    <t>Impreza 5 dr</t>
  </si>
  <si>
    <t>Legacy</t>
  </si>
  <si>
    <t>2022_subaru_legacy</t>
  </si>
  <si>
    <t>Outback</t>
  </si>
  <si>
    <t>2022_subaru_outback</t>
  </si>
  <si>
    <t>GR86</t>
  </si>
  <si>
    <t>2022_toyota_gr86</t>
  </si>
  <si>
    <t>WRX</t>
  </si>
  <si>
    <t>2022_subaru_wrx</t>
  </si>
  <si>
    <t>STI S209</t>
  </si>
  <si>
    <t>2022_subaru_sti</t>
  </si>
  <si>
    <t>Tesla Inc.</t>
  </si>
  <si>
    <t>Tesla</t>
  </si>
  <si>
    <t>Model S</t>
  </si>
  <si>
    <t>Fremont, CA</t>
  </si>
  <si>
    <t>USA</t>
  </si>
  <si>
    <t xml:space="preserve">USA </t>
  </si>
  <si>
    <t>Model X</t>
  </si>
  <si>
    <t>Model 3 RWD</t>
  </si>
  <si>
    <t xml:space="preserve">Model 3 Long Range   </t>
  </si>
  <si>
    <t>Model 3 Performance</t>
  </si>
  <si>
    <t>Model Y</t>
  </si>
  <si>
    <t>Lexus</t>
  </si>
  <si>
    <t>CT200h</t>
  </si>
  <si>
    <t>2022_lexus_cthybrid</t>
  </si>
  <si>
    <t>GX460</t>
  </si>
  <si>
    <t>2022_lexus_gx</t>
  </si>
  <si>
    <t>ES 250/350</t>
  </si>
  <si>
    <t>2022_lexus_es</t>
  </si>
  <si>
    <t>ES 300h</t>
  </si>
  <si>
    <t>2022_lexus_eshybrid</t>
  </si>
  <si>
    <t>GS350</t>
  </si>
  <si>
    <t>2022_lexus_gs</t>
  </si>
  <si>
    <t>GS300</t>
  </si>
  <si>
    <t>2022_lexus_gs300</t>
  </si>
  <si>
    <t>GS 450 h</t>
  </si>
  <si>
    <t>GS F</t>
  </si>
  <si>
    <t>IS300 / 350</t>
  </si>
  <si>
    <t>2022_lexus_is</t>
  </si>
  <si>
    <t>LC 500</t>
  </si>
  <si>
    <t>2022_lexus_lc</t>
  </si>
  <si>
    <t>LC Convertible</t>
  </si>
  <si>
    <t>LC 500h</t>
  </si>
  <si>
    <t>2022_lexus_lchybrid</t>
  </si>
  <si>
    <t>LS 500</t>
  </si>
  <si>
    <t>2022_lexus_ls</t>
  </si>
  <si>
    <t>LS 500h</t>
  </si>
  <si>
    <t>2022_lexus_lshybrid</t>
  </si>
  <si>
    <t>LX600</t>
  </si>
  <si>
    <t>2022_lexus_lx</t>
  </si>
  <si>
    <t>NX</t>
  </si>
  <si>
    <t>2022_lexus_nx</t>
  </si>
  <si>
    <t>55% J</t>
  </si>
  <si>
    <t xml:space="preserve">CAN </t>
  </si>
  <si>
    <t>NX Hybrid</t>
  </si>
  <si>
    <t>2022_lexus_nxhybrid</t>
  </si>
  <si>
    <t>NX PHV</t>
  </si>
  <si>
    <t>UX</t>
  </si>
  <si>
    <t>2022_lexus_ux</t>
  </si>
  <si>
    <t>UX Hybrid</t>
  </si>
  <si>
    <t>2022_lexus_uxhybrid</t>
  </si>
  <si>
    <t>RX350</t>
  </si>
  <si>
    <t>2022_lexus_rx</t>
  </si>
  <si>
    <t>RX L</t>
  </si>
  <si>
    <t>RX450h</t>
  </si>
  <si>
    <t>2022_lexus_rxhybrid</t>
  </si>
  <si>
    <t>RXh L</t>
  </si>
  <si>
    <t>RC</t>
  </si>
  <si>
    <t>2022_lexus_rc</t>
  </si>
  <si>
    <t>RC F</t>
  </si>
  <si>
    <t>2022_lexus_rcf</t>
  </si>
  <si>
    <t>Mirai</t>
  </si>
  <si>
    <t>4Runner</t>
  </si>
  <si>
    <t>2022_toyota_4runner</t>
  </si>
  <si>
    <t>Avalon</t>
  </si>
  <si>
    <t>2022_toyota_avalon</t>
  </si>
  <si>
    <t>Avalon Hybrid</t>
  </si>
  <si>
    <t>2022_toyota_avalonhybrid</t>
  </si>
  <si>
    <t>Camry</t>
  </si>
  <si>
    <t>2022_toyota_camry</t>
  </si>
  <si>
    <t>C-HR</t>
  </si>
  <si>
    <t>2022_toyota_chr</t>
  </si>
  <si>
    <t>20% T</t>
  </si>
  <si>
    <t>Camry Hybrid</t>
  </si>
  <si>
    <t>2022_toyota_camryhybrid</t>
  </si>
  <si>
    <t>Corolla  HB</t>
  </si>
  <si>
    <t>2022_toyota_corollahybrid</t>
  </si>
  <si>
    <t xml:space="preserve">Corolla  </t>
  </si>
  <si>
    <t>2022_toyota_corolla</t>
  </si>
  <si>
    <t>Corolla Cross</t>
  </si>
  <si>
    <t>2022_toyota_corollacross</t>
  </si>
  <si>
    <t>Corolla  Hybrid</t>
  </si>
  <si>
    <t>Highlander</t>
  </si>
  <si>
    <t>2022_toyota_highlander</t>
  </si>
  <si>
    <t>Highlander Hybrid</t>
  </si>
  <si>
    <t>2022_toyota_highlanderhybrid</t>
  </si>
  <si>
    <t>Land Cruiser</t>
  </si>
  <si>
    <t>2022_toyota_landcruiser</t>
  </si>
  <si>
    <t xml:space="preserve">Prius </t>
  </si>
  <si>
    <t>2022_toyota_prius</t>
  </si>
  <si>
    <t>Prius V</t>
  </si>
  <si>
    <t>Prius C</t>
  </si>
  <si>
    <t>Prius Plug In Hybrid</t>
  </si>
  <si>
    <t>Prius Prime</t>
  </si>
  <si>
    <t>Rav4</t>
  </si>
  <si>
    <t>2022_toyota_rav4</t>
  </si>
  <si>
    <t>10% J</t>
  </si>
  <si>
    <t>Rav4 Hybrid</t>
  </si>
  <si>
    <t>2022_toyota_rav4hybrid</t>
  </si>
  <si>
    <t>US    J</t>
  </si>
  <si>
    <t>Rav4 Prime</t>
  </si>
  <si>
    <t>Sequoia</t>
  </si>
  <si>
    <t>2022_toyota_sequoia</t>
  </si>
  <si>
    <t>Sienna</t>
  </si>
  <si>
    <t>2022_toyota_sienna</t>
  </si>
  <si>
    <t>Sienna Hybrid</t>
  </si>
  <si>
    <t>Tacoma</t>
  </si>
  <si>
    <t>2022_toyota_tacoma</t>
  </si>
  <si>
    <t>Tundra</t>
  </si>
  <si>
    <t>2022_toyota_tundra</t>
  </si>
  <si>
    <t>Tundra Hybrid</t>
  </si>
  <si>
    <t>2022_toyota_tundrahybrid</t>
  </si>
  <si>
    <t>Venza Hybrid</t>
  </si>
  <si>
    <t>Yaris</t>
  </si>
  <si>
    <t>Volkswagen</t>
  </si>
  <si>
    <t>Arteon FWD</t>
  </si>
  <si>
    <t>2022_volkswagen_arteon</t>
  </si>
  <si>
    <t xml:space="preserve">56% G </t>
  </si>
  <si>
    <t>Arteon AWD</t>
  </si>
  <si>
    <t>Atlas 2.0 (FWD)</t>
  </si>
  <si>
    <t>2022_volkswagen_atlas</t>
  </si>
  <si>
    <t>37% M</t>
  </si>
  <si>
    <t>M (2.0L)</t>
  </si>
  <si>
    <t>Atlas 2.0 (AWD)</t>
  </si>
  <si>
    <t>35% M</t>
  </si>
  <si>
    <t>Atlas 3.6 (FWD)</t>
  </si>
  <si>
    <t>22% M</t>
  </si>
  <si>
    <t>G (3.6L)</t>
  </si>
  <si>
    <t>Atlas 3.6 (AWD)</t>
  </si>
  <si>
    <t>Atlas Cross Sport 2.0 (FWD)</t>
  </si>
  <si>
    <t>2022_volkswagen_atlascrosssport</t>
  </si>
  <si>
    <t>39% M</t>
  </si>
  <si>
    <t>Atlas Cross Sport 2.0 (AWD)</t>
  </si>
  <si>
    <t>36% M</t>
  </si>
  <si>
    <t>Atlas Cross Sport 3.6 (FWD)</t>
  </si>
  <si>
    <t>Atlas Cross Sport 3.6 (AWD)</t>
  </si>
  <si>
    <t>Golf R (manual)</t>
  </si>
  <si>
    <t>2022_volkswagen_golfr</t>
  </si>
  <si>
    <t>Golf R (automatic)</t>
  </si>
  <si>
    <t>28% G</t>
  </si>
  <si>
    <t>Golf GTI (manual)</t>
  </si>
  <si>
    <t xml:space="preserve">35% G </t>
  </si>
  <si>
    <t>22% H</t>
  </si>
  <si>
    <t>Golf GTI (automatic)</t>
  </si>
  <si>
    <t xml:space="preserve">37% G </t>
  </si>
  <si>
    <t>ID.4 1st Edition/Pro S (RWD)</t>
  </si>
  <si>
    <t>46% CH</t>
  </si>
  <si>
    <t xml:space="preserve">G  </t>
  </si>
  <si>
    <t>ID.4 Pro (RWD)</t>
  </si>
  <si>
    <t>38% G</t>
  </si>
  <si>
    <t>ID.4 RWD</t>
  </si>
  <si>
    <t>ID.4 AWD</t>
  </si>
  <si>
    <t>90% G</t>
  </si>
  <si>
    <t>Jetta (manual)</t>
  </si>
  <si>
    <t>2022_volkswagen_jetta</t>
  </si>
  <si>
    <t>34% M</t>
  </si>
  <si>
    <t>Jetta (automatic)</t>
  </si>
  <si>
    <t>Jetta GLI (manual)</t>
  </si>
  <si>
    <t>Jetta GLI (automatic)</t>
  </si>
  <si>
    <t>Passat</t>
  </si>
  <si>
    <t>2022_volkswagen_passat</t>
  </si>
  <si>
    <t>44% M</t>
  </si>
  <si>
    <t>Taos (FWD)</t>
  </si>
  <si>
    <t>2022_volkswagen_taos</t>
  </si>
  <si>
    <t>Taos (AWD)</t>
  </si>
  <si>
    <t>Tiguan (FWD)</t>
  </si>
  <si>
    <t>2022_volkswagen_tiguan</t>
  </si>
  <si>
    <t>Tiguan (AWD)</t>
  </si>
  <si>
    <t>Volvo</t>
  </si>
  <si>
    <t>S60 B5 FWD Momentum</t>
  </si>
  <si>
    <t>2022_volvo_s60</t>
  </si>
  <si>
    <t>10% MX</t>
  </si>
  <si>
    <t>S60 B5 FWD R-Design</t>
  </si>
  <si>
    <t>15% SE</t>
  </si>
  <si>
    <t>S60 B5 FWD Inscription</t>
  </si>
  <si>
    <t>S60 B5 AWD Momentum</t>
  </si>
  <si>
    <t>S60 B5 AWD R-Design</t>
  </si>
  <si>
    <t>S60 B5 AWD Inscription</t>
  </si>
  <si>
    <t>S60 Recharge T8 eAWD R-Design Expression</t>
  </si>
  <si>
    <t>2022_volvo_s60hybrid</t>
  </si>
  <si>
    <t>15% K</t>
  </si>
  <si>
    <t>S60 Recharge T8 eAWD R-Design</t>
  </si>
  <si>
    <t>S60 Recharge T8 eAWD Inscription</t>
  </si>
  <si>
    <t>S60 Polestar Engineered</t>
  </si>
  <si>
    <t xml:space="preserve">10% K </t>
  </si>
  <si>
    <t>V60 T8 eAWD Polestar Engineered</t>
  </si>
  <si>
    <t>2022_volvo_v60hybrid</t>
  </si>
  <si>
    <t>30% SE</t>
  </si>
  <si>
    <t>S90 B6 AWD Momentum</t>
  </si>
  <si>
    <t>2022_volvo_s90</t>
  </si>
  <si>
    <t>75% CH</t>
  </si>
  <si>
    <t>S90 B6 AWD R-Design</t>
  </si>
  <si>
    <t>S90 B6 AWD Inscription</t>
  </si>
  <si>
    <t>10% SE</t>
  </si>
  <si>
    <t>S90 Recharge R-Design</t>
  </si>
  <si>
    <t>2022_volvo_s90hybrid</t>
  </si>
  <si>
    <t>45% CH</t>
  </si>
  <si>
    <t>V90 Aut (8vxl) FWD (T5 FWD)</t>
  </si>
  <si>
    <t>2022_volvo_v90</t>
  </si>
  <si>
    <t>10% G</t>
  </si>
  <si>
    <t>V90 Aut (8vxl) AWD (T6 AWD)</t>
  </si>
  <si>
    <t>35% SE</t>
  </si>
  <si>
    <t>V60 Cross Country T5 AWD</t>
  </si>
  <si>
    <t>2022_volvo_v60crosscountry</t>
  </si>
  <si>
    <t>40% SE</t>
  </si>
  <si>
    <t>10% PL</t>
  </si>
  <si>
    <t>V90 Cross Country B6 AWD</t>
  </si>
  <si>
    <t>2022_volvo_v90crosscountry</t>
  </si>
  <si>
    <t>45% SE</t>
  </si>
  <si>
    <t>10% CZ</t>
  </si>
  <si>
    <t>XC40 T4 FWD Momentum</t>
  </si>
  <si>
    <t>2022_volvo_xc40</t>
  </si>
  <si>
    <t>20% BE</t>
  </si>
  <si>
    <t>XC40 T4 FWD R-Design</t>
  </si>
  <si>
    <t>XC40 T4 FWD Inscription</t>
  </si>
  <si>
    <t>XC40 T5 AWD Momentum</t>
  </si>
  <si>
    <t>25% SE</t>
  </si>
  <si>
    <t>25% BE</t>
  </si>
  <si>
    <t>XC40 T5 AWD R-Design</t>
  </si>
  <si>
    <t>XC40 T5 AWD Inscription</t>
  </si>
  <si>
    <t>XC40 Recharge Twin - Level 2</t>
  </si>
  <si>
    <t>2022_volvo_xc40hybrid</t>
  </si>
  <si>
    <t>40% PL</t>
  </si>
  <si>
    <t>25% CH</t>
  </si>
  <si>
    <t>XC40 Recharge Twin - Level 3</t>
  </si>
  <si>
    <t>10% BE</t>
  </si>
  <si>
    <t>XC60 B5 FWD Momentum</t>
  </si>
  <si>
    <t>2022_volvo_xc60</t>
  </si>
  <si>
    <t>XC60 B5 AWD Momentum</t>
  </si>
  <si>
    <t>XC60 B5 FWD R-Design</t>
  </si>
  <si>
    <t>10% CH</t>
  </si>
  <si>
    <t>XC60 B5 AWD R-Design</t>
  </si>
  <si>
    <t>XC60 B5 FWD Inscription</t>
  </si>
  <si>
    <t>XC60 B5 AWD Inscription</t>
  </si>
  <si>
    <t>XC60 B6 AWD R-Design</t>
  </si>
  <si>
    <t>XC60 B6 AWD Inscription</t>
  </si>
  <si>
    <t>XC60 Recharge eAWD Inscription Expression</t>
  </si>
  <si>
    <t>2022_volvo_xc60hybrid</t>
  </si>
  <si>
    <t>XC60 Recharge eAWD R-Design</t>
  </si>
  <si>
    <t>XC60 Recharge eAWD Inscription</t>
  </si>
  <si>
    <t>XC60 Polestar Engineered</t>
  </si>
  <si>
    <t>XC90 T5 FWD Momentum</t>
  </si>
  <si>
    <t>2022_volvo_xc90</t>
  </si>
  <si>
    <t>50% SE</t>
  </si>
  <si>
    <t>XC90 T5 AWD Momentum</t>
  </si>
  <si>
    <t>XC90 T6 AWD Momentum</t>
  </si>
  <si>
    <t>XC90 T6 AWD Inscription</t>
  </si>
  <si>
    <t>XC90 T6 AWD Momentum 6-Seater</t>
  </si>
  <si>
    <t>XC90 T6 AWD Inscription 6-Seater</t>
  </si>
  <si>
    <t>XC90 Recharge T8 eAWD Inscription Expression</t>
  </si>
  <si>
    <t>2022_volvo_xc90hybrid</t>
  </si>
  <si>
    <t>XC90 Recharge T8 eAWD Inscription</t>
  </si>
  <si>
    <t>XC90 Recharge T8 eAWD R-Design</t>
  </si>
  <si>
    <t>XC90 Recharge T8 eAWD Inscription Expression 6-Seater</t>
  </si>
  <si>
    <t>XC90 Recharge T8 eAWD Inscription 6-Seater</t>
  </si>
  <si>
    <t>2022_kia_k5</t>
  </si>
  <si>
    <t>2022_ford_f250</t>
  </si>
  <si>
    <t>2022_gmc_sierralimited</t>
  </si>
  <si>
    <t>2022_toyota_siennahybrid</t>
  </si>
  <si>
    <t>2022_hyundai_santacruz</t>
  </si>
  <si>
    <t>2022_buick_encoregx</t>
  </si>
  <si>
    <t>2022_honda_insighthybrid</t>
  </si>
  <si>
    <t>2022_gmc_yukonxl</t>
  </si>
  <si>
    <t>2022_honda_crvhybrid</t>
  </si>
  <si>
    <t>2022_chevrolet_suburban</t>
  </si>
  <si>
    <t>2022_toyota_priushybrid</t>
  </si>
  <si>
    <t>2022_tesla_model3ev</t>
  </si>
  <si>
    <t>2022_ford_eseries</t>
  </si>
  <si>
    <t>2022_ford_transitconnect</t>
  </si>
  <si>
    <t>2022_jeep_wagoneer</t>
  </si>
  <si>
    <t>2022_tesla_modelyev</t>
  </si>
  <si>
    <t>2022_honda_accordhybrid</t>
  </si>
  <si>
    <t>2022_polestar_2ev</t>
  </si>
  <si>
    <t>2022_bmw_4seriesm</t>
  </si>
  <si>
    <t>2022_audi_etronev</t>
  </si>
  <si>
    <t>2022_chevrolet_bolteuvev</t>
  </si>
  <si>
    <t>2022_bmw_3seriesm</t>
  </si>
  <si>
    <t>2022_bmw_8seriesm</t>
  </si>
  <si>
    <t>2022_toyota_priusprimehybrid</t>
  </si>
  <si>
    <t>2022_bmw_5seriesm</t>
  </si>
  <si>
    <t>2022_volkswagen_gti</t>
  </si>
  <si>
    <t>2022_nissan_leafev</t>
  </si>
  <si>
    <t>2022_audi_etrongtev</t>
  </si>
  <si>
    <t>2022_lincoln_aviatorhybrid</t>
  </si>
  <si>
    <t>2022_bmw_m8</t>
  </si>
  <si>
    <t>2022_ford_maverickhybrid</t>
  </si>
  <si>
    <t>2022_bmw_2seriesm</t>
  </si>
  <si>
    <t>2022_mini_cooperev</t>
  </si>
  <si>
    <t>2022_bmw_m3</t>
  </si>
  <si>
    <t>2022_chrysler_pacificahybrid</t>
  </si>
  <si>
    <t>2022_bmw_m4</t>
  </si>
  <si>
    <t>2022_bmw_3serieshybrid</t>
  </si>
  <si>
    <t>2022_tesla_modelxev</t>
  </si>
  <si>
    <t>2022_tesla_modelsev</t>
  </si>
  <si>
    <t>2022_jaguar_ipaceev</t>
  </si>
  <si>
    <t>2022_porsche_taycanev</t>
  </si>
  <si>
    <t>2022_cadillac_ct5v</t>
  </si>
  <si>
    <t>2022_jeep_wranglerunlimited</t>
  </si>
  <si>
    <t>2022_chevrolet_express</t>
  </si>
  <si>
    <t>2022_ford_f150hybrid</t>
  </si>
  <si>
    <t>2022_toyota_venzahybrid</t>
  </si>
  <si>
    <t>2022_jeep_wranglerunlimitedhybrid</t>
  </si>
  <si>
    <t>2022_ford_escapehybrid</t>
  </si>
  <si>
    <t>2022_ford_mustangmacheev</t>
  </si>
  <si>
    <t>2022_kia_ev6ev</t>
  </si>
  <si>
    <t>2022_ram_promastercity</t>
  </si>
  <si>
    <t>2022_hyundai_ioniq5ev</t>
  </si>
  <si>
    <t>2022_gmc_savana</t>
  </si>
  <si>
    <t>2022_ford_f150ev</t>
  </si>
  <si>
    <t>2022_rivian_r1tev</t>
  </si>
  <si>
    <t>2022_mercedesbenz_eqssedanev</t>
  </si>
  <si>
    <t>2022_toyota_rav4primehybrid</t>
  </si>
  <si>
    <t>2022_ford_explorerhybrid</t>
  </si>
  <si>
    <t>2022_mercedesbenz_metris</t>
  </si>
  <si>
    <t>2022_volkswagen_id4ev</t>
  </si>
  <si>
    <t>2022_jeep_grandcherokeehybrid</t>
  </si>
  <si>
    <t>2022_lincoln_corsairhybrid</t>
  </si>
  <si>
    <t>2022_audi_q4etronev</t>
  </si>
  <si>
    <t>2022_cadillac_ct4v</t>
  </si>
  <si>
    <t>2022_nissan_titanxd</t>
  </si>
  <si>
    <t>2022_bmw_i4ev</t>
  </si>
  <si>
    <t>2022_bmw_ixev</t>
  </si>
  <si>
    <t>2022_lucidmotors_airev</t>
  </si>
  <si>
    <t>2022_mercedesbenz_eqbev</t>
  </si>
  <si>
    <t>2022_bmw_5serieshybrid</t>
  </si>
  <si>
    <t>2022_audi_etronsev</t>
  </si>
  <si>
    <t>2022_ferrari_f8tributo</t>
  </si>
  <si>
    <t>2022_astonmartin_dbx</t>
  </si>
  <si>
    <t>2022_acura_nsxhybrid</t>
  </si>
  <si>
    <t>2022_ferrari_roma</t>
  </si>
  <si>
    <t>2022_bmw_7seriesm</t>
  </si>
  <si>
    <t>2022_audi_rsetrongtev</t>
  </si>
  <si>
    <t>2022_ferrari_812gts</t>
  </si>
  <si>
    <t>2022_ferrari_sf90stradalehybrid</t>
  </si>
  <si>
    <t>2022_rivian_r1sev</t>
  </si>
  <si>
    <t>2022_ferrari_f8spider</t>
  </si>
  <si>
    <t>2022_bentley_flyingspurhybrid</t>
  </si>
  <si>
    <t>2022_ferrari_portofinom</t>
  </si>
  <si>
    <t>2022_ferrari_296gtbhybrid</t>
  </si>
  <si>
    <t>2022_ferrari_sf90spiderhybrid</t>
  </si>
  <si>
    <t>2022_bmw_7serieshybrid</t>
  </si>
  <si>
    <t>2022_mazda_mx30ev</t>
  </si>
  <si>
    <t>2022_toyota_miraihybrid</t>
  </si>
  <si>
    <t>2022_hyundai_nexohybrid</t>
  </si>
  <si>
    <t>2022_ferrari_812competizione</t>
  </si>
  <si>
    <t>allowed_names</t>
  </si>
  <si>
    <t>check</t>
  </si>
  <si>
    <t>2022_toyota_yarishybrid</t>
  </si>
  <si>
    <t>2022_polestar_1ev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</si>
</sst>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E114D-DBC1-084F-8E0A-B46C46ED7D84}">
  <dimension ref="A1:S771"/>
  <sheetViews>
    <sheetView tabSelected="1" topLeftCell="F1" workbookViewId="0">
      <selection activeCell="O122" sqref="O122"/>
    </sheetView>
  </sheetViews>
  <sheetFormatPr baseColWidth="10" defaultRowHeight="16" x14ac:dyDescent="0.2"/>
  <cols>
    <col min="3" max="3" width="16.33203125" customWidth="1"/>
    <col min="4" max="4" width="33" bestFit="1" customWidth="1"/>
    <col min="18" max="18" width="30.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1717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R1" t="s">
        <v>1716</v>
      </c>
      <c r="S1" t="s">
        <v>1717</v>
      </c>
    </row>
    <row r="2" spans="1:19" x14ac:dyDescent="0.2">
      <c r="A2" t="s">
        <v>14</v>
      </c>
      <c r="B2" t="s">
        <v>15</v>
      </c>
      <c r="C2" t="s">
        <v>16</v>
      </c>
      <c r="D2" t="s">
        <v>17</v>
      </c>
      <c r="E2" t="b">
        <f>COUNTIF(R:R,D2)&gt;0</f>
        <v>1</v>
      </c>
      <c r="F2" t="str">
        <f>IF(COUNTIF(C2,"*hybrid*")&gt;0,
     IF(COUNTIF(D2,"*hybrid*")&gt;0,"OK","Mismatch"),
     "OK")</f>
        <v>OK</v>
      </c>
      <c r="G2" t="s">
        <v>18</v>
      </c>
      <c r="H2" s="1">
        <v>0.03</v>
      </c>
      <c r="I2" t="s">
        <v>19</v>
      </c>
      <c r="J2" t="s">
        <v>20</v>
      </c>
      <c r="K2" t="s">
        <v>21</v>
      </c>
      <c r="M2" t="s">
        <v>22</v>
      </c>
      <c r="O2" t="s">
        <v>22</v>
      </c>
      <c r="R2" t="s">
        <v>702</v>
      </c>
      <c r="S2" t="b">
        <f>COUNTIF(D:D,R2)&gt;0</f>
        <v>1</v>
      </c>
    </row>
    <row r="3" spans="1:19" x14ac:dyDescent="0.2">
      <c r="A3" t="s">
        <v>14</v>
      </c>
      <c r="B3" t="s">
        <v>15</v>
      </c>
      <c r="C3" t="s">
        <v>23</v>
      </c>
      <c r="D3" t="s">
        <v>24</v>
      </c>
      <c r="E3" t="b">
        <f>COUNTIF(R:R,D3)&gt;0</f>
        <v>1</v>
      </c>
      <c r="F3" t="str">
        <f t="shared" ref="F3:F66" si="0">IF(COUNTIF(C3,"*hybrid*")&gt;0,
     IF(COUNTIF(D3,"*hybrid*")&gt;0,"OK","Mismatch"),
     "OK")</f>
        <v>OK</v>
      </c>
      <c r="G3" t="s">
        <v>18</v>
      </c>
      <c r="H3" s="1">
        <v>0.03</v>
      </c>
      <c r="I3" t="s">
        <v>19</v>
      </c>
      <c r="J3" t="s">
        <v>20</v>
      </c>
      <c r="K3" t="s">
        <v>21</v>
      </c>
      <c r="M3" t="s">
        <v>22</v>
      </c>
      <c r="O3" t="s">
        <v>22</v>
      </c>
      <c r="R3" t="s">
        <v>691</v>
      </c>
      <c r="S3" t="b">
        <f>COUNTIF(D:D,R3)&gt;0</f>
        <v>1</v>
      </c>
    </row>
    <row r="4" spans="1:19" x14ac:dyDescent="0.2">
      <c r="A4" t="s">
        <v>14</v>
      </c>
      <c r="B4" t="s">
        <v>15</v>
      </c>
      <c r="C4" t="s">
        <v>25</v>
      </c>
      <c r="D4" t="s">
        <v>17</v>
      </c>
      <c r="E4" t="b">
        <f>COUNTIF(R:R,D4)&gt;0</f>
        <v>1</v>
      </c>
      <c r="F4" t="str">
        <f t="shared" si="0"/>
        <v>OK</v>
      </c>
      <c r="G4" t="s">
        <v>18</v>
      </c>
      <c r="H4" s="1">
        <v>0.03</v>
      </c>
      <c r="I4" t="s">
        <v>19</v>
      </c>
      <c r="J4" t="s">
        <v>20</v>
      </c>
      <c r="K4" t="s">
        <v>21</v>
      </c>
      <c r="M4" t="s">
        <v>22</v>
      </c>
      <c r="O4" t="s">
        <v>22</v>
      </c>
      <c r="R4" t="s">
        <v>1699</v>
      </c>
      <c r="S4" t="b">
        <f>COUNTIF(D:D,R4)&gt;0</f>
        <v>0</v>
      </c>
    </row>
    <row r="5" spans="1:19" x14ac:dyDescent="0.2">
      <c r="A5" t="s">
        <v>14</v>
      </c>
      <c r="B5" t="s">
        <v>15</v>
      </c>
      <c r="C5" t="s">
        <v>26</v>
      </c>
      <c r="D5" t="s">
        <v>27</v>
      </c>
      <c r="E5" t="b">
        <f>COUNTIF(R:R,D5)&gt;0</f>
        <v>1</v>
      </c>
      <c r="F5" t="str">
        <f t="shared" si="0"/>
        <v>OK</v>
      </c>
      <c r="G5" t="s">
        <v>18</v>
      </c>
      <c r="H5" s="1">
        <v>0.03</v>
      </c>
      <c r="I5" t="s">
        <v>19</v>
      </c>
      <c r="J5" t="s">
        <v>20</v>
      </c>
      <c r="K5" t="s">
        <v>21</v>
      </c>
      <c r="M5" t="s">
        <v>22</v>
      </c>
      <c r="O5" t="s">
        <v>22</v>
      </c>
      <c r="R5" t="s">
        <v>675</v>
      </c>
      <c r="S5" t="b">
        <f>COUNTIF(D:D,R5)&gt;0</f>
        <v>1</v>
      </c>
    </row>
    <row r="6" spans="1:19" x14ac:dyDescent="0.2">
      <c r="A6" t="s">
        <v>28</v>
      </c>
      <c r="B6" t="s">
        <v>28</v>
      </c>
      <c r="C6" t="s">
        <v>29</v>
      </c>
      <c r="D6" t="s">
        <v>1645</v>
      </c>
      <c r="E6" t="b">
        <f>COUNTIF(R:R,D6)&gt;0</f>
        <v>1</v>
      </c>
      <c r="F6" t="str">
        <f t="shared" si="0"/>
        <v>OK</v>
      </c>
      <c r="G6" t="s">
        <v>30</v>
      </c>
      <c r="H6" s="1">
        <v>0.01</v>
      </c>
      <c r="I6" t="s">
        <v>31</v>
      </c>
      <c r="J6" t="s">
        <v>32</v>
      </c>
      <c r="K6" t="s">
        <v>33</v>
      </c>
      <c r="M6" t="s">
        <v>34</v>
      </c>
      <c r="O6" t="s">
        <v>35</v>
      </c>
      <c r="R6" t="s">
        <v>705</v>
      </c>
      <c r="S6" t="b">
        <f>COUNTIF(D:D,R6)&gt;0</f>
        <v>1</v>
      </c>
    </row>
    <row r="7" spans="1:19" x14ac:dyDescent="0.2">
      <c r="A7" t="s">
        <v>28</v>
      </c>
      <c r="B7" t="s">
        <v>28</v>
      </c>
      <c r="C7" t="s">
        <v>36</v>
      </c>
      <c r="D7" t="s">
        <v>1696</v>
      </c>
      <c r="E7" t="b">
        <f>COUNTIF(R:R,D7)&gt;0</f>
        <v>1</v>
      </c>
      <c r="F7" t="str">
        <f t="shared" si="0"/>
        <v>OK</v>
      </c>
      <c r="G7" t="s">
        <v>30</v>
      </c>
      <c r="H7" s="1">
        <v>0.01</v>
      </c>
      <c r="I7" t="s">
        <v>37</v>
      </c>
      <c r="J7" t="s">
        <v>20</v>
      </c>
      <c r="K7" t="s">
        <v>33</v>
      </c>
      <c r="M7" t="s">
        <v>35</v>
      </c>
      <c r="O7" t="s">
        <v>35</v>
      </c>
      <c r="R7" t="s">
        <v>355</v>
      </c>
      <c r="S7" t="b">
        <f>COUNTIF(D:D,R7)&gt;0</f>
        <v>1</v>
      </c>
    </row>
    <row r="8" spans="1:19" x14ac:dyDescent="0.2">
      <c r="A8" t="s">
        <v>28</v>
      </c>
      <c r="B8" t="s">
        <v>28</v>
      </c>
      <c r="C8" t="s">
        <v>38</v>
      </c>
      <c r="D8" t="s">
        <v>1645</v>
      </c>
      <c r="E8" t="b">
        <f>COUNTIF(R:R,D8)&gt;0</f>
        <v>1</v>
      </c>
      <c r="F8" t="str">
        <f t="shared" si="0"/>
        <v>OK</v>
      </c>
      <c r="G8" t="s">
        <v>30</v>
      </c>
      <c r="H8" s="1">
        <v>0.01</v>
      </c>
      <c r="I8" t="s">
        <v>39</v>
      </c>
      <c r="J8" t="s">
        <v>32</v>
      </c>
      <c r="K8" t="s">
        <v>33</v>
      </c>
      <c r="M8" t="s">
        <v>34</v>
      </c>
      <c r="O8" t="s">
        <v>35</v>
      </c>
      <c r="R8" t="s">
        <v>359</v>
      </c>
      <c r="S8" t="b">
        <f>COUNTIF(D:D,R8)&gt;0</f>
        <v>1</v>
      </c>
    </row>
    <row r="9" spans="1:19" x14ac:dyDescent="0.2">
      <c r="A9" t="s">
        <v>28</v>
      </c>
      <c r="B9" t="s">
        <v>28</v>
      </c>
      <c r="C9" t="s">
        <v>40</v>
      </c>
      <c r="D9" t="s">
        <v>1696</v>
      </c>
      <c r="E9" t="b">
        <f>COUNTIF(R:R,D9)&gt;0</f>
        <v>1</v>
      </c>
      <c r="F9" t="str">
        <f t="shared" si="0"/>
        <v>OK</v>
      </c>
      <c r="G9" t="s">
        <v>30</v>
      </c>
      <c r="H9" s="1">
        <v>0.01</v>
      </c>
      <c r="I9" t="s">
        <v>37</v>
      </c>
      <c r="J9" t="s">
        <v>41</v>
      </c>
      <c r="K9" t="s">
        <v>33</v>
      </c>
      <c r="M9" t="s">
        <v>35</v>
      </c>
      <c r="O9" t="s">
        <v>35</v>
      </c>
      <c r="R9" t="s">
        <v>17</v>
      </c>
      <c r="S9" t="b">
        <f>COUNTIF(D:D,R9)&gt;0</f>
        <v>1</v>
      </c>
    </row>
    <row r="10" spans="1:19" x14ac:dyDescent="0.2">
      <c r="A10" t="s">
        <v>28</v>
      </c>
      <c r="B10" t="s">
        <v>28</v>
      </c>
      <c r="C10" t="s">
        <v>42</v>
      </c>
      <c r="D10" t="s">
        <v>1653</v>
      </c>
      <c r="E10" t="b">
        <f>COUNTIF(R:R,D10)&gt;0</f>
        <v>1</v>
      </c>
      <c r="F10" t="str">
        <f t="shared" si="0"/>
        <v>OK</v>
      </c>
      <c r="G10" t="s">
        <v>18</v>
      </c>
      <c r="H10" s="1">
        <v>0.01</v>
      </c>
      <c r="I10" t="s">
        <v>43</v>
      </c>
      <c r="J10" t="s">
        <v>44</v>
      </c>
      <c r="K10" t="s">
        <v>22</v>
      </c>
      <c r="M10" t="s">
        <v>22</v>
      </c>
      <c r="O10" t="s">
        <v>22</v>
      </c>
      <c r="P10" t="s">
        <v>45</v>
      </c>
      <c r="R10" t="s">
        <v>24</v>
      </c>
      <c r="S10" t="b">
        <f>COUNTIF(D:D,R10)&gt;0</f>
        <v>1</v>
      </c>
    </row>
    <row r="11" spans="1:19" x14ac:dyDescent="0.2">
      <c r="A11" t="s">
        <v>28</v>
      </c>
      <c r="B11" t="s">
        <v>28</v>
      </c>
      <c r="C11" t="s">
        <v>46</v>
      </c>
      <c r="D11" t="s">
        <v>1702</v>
      </c>
      <c r="E11" t="b">
        <f>COUNTIF(R:R,D11)&gt;0</f>
        <v>1</v>
      </c>
      <c r="F11" t="str">
        <f t="shared" si="0"/>
        <v>OK</v>
      </c>
      <c r="G11" t="s">
        <v>18</v>
      </c>
      <c r="H11" s="1">
        <v>0.01</v>
      </c>
      <c r="I11" t="s">
        <v>47</v>
      </c>
      <c r="J11" t="s">
        <v>48</v>
      </c>
      <c r="K11" t="s">
        <v>22</v>
      </c>
      <c r="M11" t="s">
        <v>22</v>
      </c>
      <c r="O11" t="s">
        <v>22</v>
      </c>
      <c r="P11" t="s">
        <v>45</v>
      </c>
      <c r="R11" t="s">
        <v>1698</v>
      </c>
      <c r="S11" t="b">
        <f>COUNTIF(D:D,R11)&gt;0</f>
        <v>0</v>
      </c>
    </row>
    <row r="12" spans="1:19" x14ac:dyDescent="0.2">
      <c r="A12" t="s">
        <v>28</v>
      </c>
      <c r="B12" t="s">
        <v>28</v>
      </c>
      <c r="C12" t="s">
        <v>49</v>
      </c>
      <c r="D12" t="s">
        <v>50</v>
      </c>
      <c r="E12" t="b">
        <f>COUNTIF(R:R,D12)&gt;0</f>
        <v>1</v>
      </c>
      <c r="F12" t="str">
        <f t="shared" si="0"/>
        <v>OK</v>
      </c>
      <c r="G12" t="s">
        <v>18</v>
      </c>
      <c r="H12" s="1">
        <v>0.01</v>
      </c>
      <c r="I12" t="s">
        <v>51</v>
      </c>
      <c r="J12" t="s">
        <v>52</v>
      </c>
      <c r="K12" t="s">
        <v>22</v>
      </c>
      <c r="M12" t="s">
        <v>35</v>
      </c>
      <c r="O12" t="s">
        <v>22</v>
      </c>
      <c r="R12" t="s">
        <v>27</v>
      </c>
      <c r="S12" t="b">
        <f>COUNTIF(D:D,R12)&gt;0</f>
        <v>1</v>
      </c>
    </row>
    <row r="13" spans="1:19" x14ac:dyDescent="0.2">
      <c r="A13" t="s">
        <v>28</v>
      </c>
      <c r="B13" t="s">
        <v>28</v>
      </c>
      <c r="C13" t="s">
        <v>53</v>
      </c>
      <c r="D13" t="s">
        <v>50</v>
      </c>
      <c r="E13" t="b">
        <f>COUNTIF(R:R,D13)&gt;0</f>
        <v>1</v>
      </c>
      <c r="F13" t="str">
        <f t="shared" si="0"/>
        <v>OK</v>
      </c>
      <c r="G13" t="s">
        <v>18</v>
      </c>
      <c r="H13" s="1">
        <v>0.01</v>
      </c>
      <c r="I13" t="s">
        <v>54</v>
      </c>
      <c r="J13" t="s">
        <v>55</v>
      </c>
      <c r="K13" t="s">
        <v>22</v>
      </c>
      <c r="M13" t="s">
        <v>35</v>
      </c>
      <c r="O13" t="s">
        <v>22</v>
      </c>
      <c r="R13" t="s">
        <v>50</v>
      </c>
      <c r="S13" t="b">
        <f>COUNTIF(D:D,R13)&gt;0</f>
        <v>1</v>
      </c>
    </row>
    <row r="14" spans="1:19" x14ac:dyDescent="0.2">
      <c r="A14" t="s">
        <v>28</v>
      </c>
      <c r="B14" t="s">
        <v>28</v>
      </c>
      <c r="C14" t="s">
        <v>56</v>
      </c>
      <c r="D14" t="s">
        <v>57</v>
      </c>
      <c r="E14" t="b">
        <f>COUNTIF(R:R,D14)&gt;0</f>
        <v>1</v>
      </c>
      <c r="F14" t="str">
        <f t="shared" si="0"/>
        <v>OK</v>
      </c>
      <c r="G14" t="s">
        <v>18</v>
      </c>
      <c r="H14" s="1">
        <v>0.01</v>
      </c>
      <c r="I14" t="s">
        <v>58</v>
      </c>
      <c r="K14" t="s">
        <v>22</v>
      </c>
      <c r="M14" t="s">
        <v>35</v>
      </c>
      <c r="O14" t="s">
        <v>22</v>
      </c>
      <c r="R14" t="s">
        <v>64</v>
      </c>
      <c r="S14" t="b">
        <f>COUNTIF(D:D,R14)&gt;0</f>
        <v>1</v>
      </c>
    </row>
    <row r="15" spans="1:19" x14ac:dyDescent="0.2">
      <c r="A15" t="s">
        <v>28</v>
      </c>
      <c r="B15" t="s">
        <v>28</v>
      </c>
      <c r="C15" t="s">
        <v>59</v>
      </c>
      <c r="D15" t="s">
        <v>60</v>
      </c>
      <c r="E15" t="b">
        <f>COUNTIF(R:R,D15)&gt;0</f>
        <v>1</v>
      </c>
      <c r="F15" t="str">
        <f t="shared" si="0"/>
        <v>OK</v>
      </c>
      <c r="G15" t="s">
        <v>18</v>
      </c>
      <c r="H15" s="1">
        <v>0</v>
      </c>
      <c r="I15" t="s">
        <v>61</v>
      </c>
      <c r="J15" t="s">
        <v>62</v>
      </c>
      <c r="K15" t="s">
        <v>22</v>
      </c>
      <c r="M15" t="s">
        <v>35</v>
      </c>
      <c r="O15" t="s">
        <v>22</v>
      </c>
      <c r="R15" t="s">
        <v>74</v>
      </c>
      <c r="S15" t="b">
        <f>COUNTIF(D:D,R15)&gt;0</f>
        <v>1</v>
      </c>
    </row>
    <row r="16" spans="1:19" x14ac:dyDescent="0.2">
      <c r="A16" t="s">
        <v>28</v>
      </c>
      <c r="B16" t="s">
        <v>28</v>
      </c>
      <c r="C16" t="s">
        <v>63</v>
      </c>
      <c r="D16" t="s">
        <v>64</v>
      </c>
      <c r="E16" t="b">
        <f>COUNTIF(R:R,D16)&gt;0</f>
        <v>1</v>
      </c>
      <c r="F16" t="str">
        <f t="shared" si="0"/>
        <v>OK</v>
      </c>
      <c r="G16" t="s">
        <v>18</v>
      </c>
      <c r="H16" s="1">
        <v>0.02</v>
      </c>
      <c r="I16" t="s">
        <v>65</v>
      </c>
      <c r="J16" t="s">
        <v>52</v>
      </c>
      <c r="K16" t="s">
        <v>22</v>
      </c>
      <c r="M16" t="s">
        <v>35</v>
      </c>
      <c r="O16" t="s">
        <v>22</v>
      </c>
      <c r="R16" t="s">
        <v>77</v>
      </c>
      <c r="S16" t="b">
        <f>COUNTIF(D:D,R16)&gt;0</f>
        <v>1</v>
      </c>
    </row>
    <row r="17" spans="1:19" x14ac:dyDescent="0.2">
      <c r="A17" t="s">
        <v>28</v>
      </c>
      <c r="B17" t="s">
        <v>28</v>
      </c>
      <c r="C17" t="s">
        <v>66</v>
      </c>
      <c r="D17" t="s">
        <v>64</v>
      </c>
      <c r="E17" t="b">
        <f>COUNTIF(R:R,D17)&gt;0</f>
        <v>1</v>
      </c>
      <c r="F17" t="str">
        <f t="shared" si="0"/>
        <v>OK</v>
      </c>
      <c r="G17" t="s">
        <v>18</v>
      </c>
      <c r="H17" s="1">
        <v>0.02</v>
      </c>
      <c r="I17" t="s">
        <v>65</v>
      </c>
      <c r="J17" t="s">
        <v>67</v>
      </c>
      <c r="K17" t="s">
        <v>22</v>
      </c>
      <c r="M17" t="s">
        <v>35</v>
      </c>
      <c r="O17" t="s">
        <v>22</v>
      </c>
      <c r="R17" t="s">
        <v>95</v>
      </c>
      <c r="S17" t="b">
        <f>COUNTIF(D:D,R17)&gt;0</f>
        <v>1</v>
      </c>
    </row>
    <row r="18" spans="1:19" x14ac:dyDescent="0.2">
      <c r="A18" t="s">
        <v>28</v>
      </c>
      <c r="B18" t="s">
        <v>28</v>
      </c>
      <c r="C18" t="s">
        <v>68</v>
      </c>
      <c r="D18" t="s">
        <v>69</v>
      </c>
      <c r="E18" t="b">
        <f>COUNTIF(R:R,D18)&gt;0</f>
        <v>1</v>
      </c>
      <c r="F18" t="str">
        <f t="shared" si="0"/>
        <v>OK</v>
      </c>
      <c r="G18" t="s">
        <v>18</v>
      </c>
      <c r="H18" s="1">
        <v>0.01</v>
      </c>
      <c r="I18" t="s">
        <v>70</v>
      </c>
      <c r="J18" t="s">
        <v>71</v>
      </c>
      <c r="K18" t="s">
        <v>72</v>
      </c>
      <c r="M18" t="s">
        <v>35</v>
      </c>
      <c r="O18" t="s">
        <v>35</v>
      </c>
      <c r="R18" t="s">
        <v>107</v>
      </c>
      <c r="S18" t="b">
        <f>COUNTIF(D:D,R18)&gt;0</f>
        <v>1</v>
      </c>
    </row>
    <row r="19" spans="1:19" x14ac:dyDescent="0.2">
      <c r="A19" t="s">
        <v>28</v>
      </c>
      <c r="B19" t="s">
        <v>28</v>
      </c>
      <c r="C19" t="s">
        <v>73</v>
      </c>
      <c r="D19" t="s">
        <v>74</v>
      </c>
      <c r="E19" t="b">
        <f>COUNTIF(R:R,D19)&gt;0</f>
        <v>1</v>
      </c>
      <c r="F19" t="str">
        <f t="shared" si="0"/>
        <v>OK</v>
      </c>
      <c r="G19" t="s">
        <v>30</v>
      </c>
      <c r="H19" s="1">
        <v>0.02</v>
      </c>
      <c r="I19" t="s">
        <v>75</v>
      </c>
      <c r="K19" t="s">
        <v>22</v>
      </c>
      <c r="M19" t="s">
        <v>35</v>
      </c>
      <c r="O19" t="s">
        <v>22</v>
      </c>
      <c r="R19" t="s">
        <v>111</v>
      </c>
      <c r="S19" t="b">
        <f>COUNTIF(D:D,R19)&gt;0</f>
        <v>1</v>
      </c>
    </row>
    <row r="20" spans="1:19" x14ac:dyDescent="0.2">
      <c r="A20" t="s">
        <v>28</v>
      </c>
      <c r="B20" t="s">
        <v>28</v>
      </c>
      <c r="C20" t="s">
        <v>76</v>
      </c>
      <c r="D20" t="s">
        <v>77</v>
      </c>
      <c r="E20" t="b">
        <f>COUNTIF(R:R,D20)&gt;0</f>
        <v>1</v>
      </c>
      <c r="F20" t="str">
        <f t="shared" si="0"/>
        <v>OK</v>
      </c>
      <c r="G20" t="s">
        <v>18</v>
      </c>
      <c r="H20" s="1">
        <v>0.02</v>
      </c>
      <c r="I20" t="s">
        <v>51</v>
      </c>
      <c r="K20" t="s">
        <v>22</v>
      </c>
      <c r="M20" t="s">
        <v>35</v>
      </c>
      <c r="O20" t="s">
        <v>22</v>
      </c>
      <c r="R20" t="s">
        <v>114</v>
      </c>
      <c r="S20" t="b">
        <f>COUNTIF(D:D,R20)&gt;0</f>
        <v>1</v>
      </c>
    </row>
    <row r="21" spans="1:19" x14ac:dyDescent="0.2">
      <c r="A21" t="s">
        <v>28</v>
      </c>
      <c r="B21" t="s">
        <v>28</v>
      </c>
      <c r="C21" t="s">
        <v>78</v>
      </c>
      <c r="D21" t="s">
        <v>79</v>
      </c>
      <c r="E21" t="b">
        <f>COUNTIF(R:R,D21)&gt;0</f>
        <v>1</v>
      </c>
      <c r="F21" t="str">
        <f t="shared" si="0"/>
        <v>OK</v>
      </c>
      <c r="G21" t="s">
        <v>18</v>
      </c>
      <c r="H21" s="1">
        <v>0.01</v>
      </c>
      <c r="I21" t="s">
        <v>80</v>
      </c>
      <c r="J21" t="s">
        <v>81</v>
      </c>
      <c r="K21" t="s">
        <v>22</v>
      </c>
      <c r="M21" t="s">
        <v>35</v>
      </c>
      <c r="O21" t="s">
        <v>35</v>
      </c>
      <c r="R21" t="s">
        <v>122</v>
      </c>
      <c r="S21" t="b">
        <f>COUNTIF(D:D,R21)&gt;0</f>
        <v>1</v>
      </c>
    </row>
    <row r="22" spans="1:19" x14ac:dyDescent="0.2">
      <c r="A22" t="s">
        <v>28</v>
      </c>
      <c r="B22" t="s">
        <v>28</v>
      </c>
      <c r="C22" t="s">
        <v>82</v>
      </c>
      <c r="D22" t="s">
        <v>77</v>
      </c>
      <c r="E22" t="b">
        <f>COUNTIF(R:R,D22)&gt;0</f>
        <v>1</v>
      </c>
      <c r="F22" t="str">
        <f t="shared" si="0"/>
        <v>OK</v>
      </c>
      <c r="G22" t="s">
        <v>18</v>
      </c>
      <c r="H22" s="1">
        <v>0.02</v>
      </c>
      <c r="I22" t="s">
        <v>83</v>
      </c>
      <c r="J22" t="s">
        <v>67</v>
      </c>
      <c r="K22" t="s">
        <v>22</v>
      </c>
      <c r="M22" t="s">
        <v>35</v>
      </c>
      <c r="O22" t="s">
        <v>22</v>
      </c>
      <c r="R22" t="s">
        <v>1645</v>
      </c>
      <c r="S22" t="b">
        <f>COUNTIF(D:D,R22)&gt;0</f>
        <v>1</v>
      </c>
    </row>
    <row r="23" spans="1:19" x14ac:dyDescent="0.2">
      <c r="A23" t="s">
        <v>28</v>
      </c>
      <c r="B23" t="s">
        <v>28</v>
      </c>
      <c r="C23" t="s">
        <v>84</v>
      </c>
      <c r="D23" t="s">
        <v>79</v>
      </c>
      <c r="E23" t="b">
        <f>COUNTIF(R:R,D23)&gt;0</f>
        <v>1</v>
      </c>
      <c r="F23" t="str">
        <f t="shared" si="0"/>
        <v>OK</v>
      </c>
      <c r="G23" t="s">
        <v>18</v>
      </c>
      <c r="H23" s="1">
        <v>0.01</v>
      </c>
      <c r="I23" t="s">
        <v>85</v>
      </c>
      <c r="J23" t="s">
        <v>86</v>
      </c>
      <c r="K23" t="s">
        <v>22</v>
      </c>
      <c r="M23" t="s">
        <v>35</v>
      </c>
      <c r="O23" t="s">
        <v>35</v>
      </c>
      <c r="R23" t="s">
        <v>1653</v>
      </c>
      <c r="S23" t="b">
        <f>COUNTIF(D:D,R23)&gt;0</f>
        <v>1</v>
      </c>
    </row>
    <row r="24" spans="1:19" x14ac:dyDescent="0.2">
      <c r="A24" t="s">
        <v>28</v>
      </c>
      <c r="B24" t="s">
        <v>28</v>
      </c>
      <c r="C24" t="s">
        <v>87</v>
      </c>
      <c r="D24" t="s">
        <v>88</v>
      </c>
      <c r="E24" t="b">
        <f>COUNTIF(R:R,D24)&gt;0</f>
        <v>1</v>
      </c>
      <c r="F24" t="str">
        <f t="shared" si="0"/>
        <v>OK</v>
      </c>
      <c r="G24" t="s">
        <v>18</v>
      </c>
      <c r="H24" s="1">
        <v>0.01</v>
      </c>
      <c r="I24" t="s">
        <v>80</v>
      </c>
      <c r="J24" t="s">
        <v>86</v>
      </c>
      <c r="K24" t="s">
        <v>22</v>
      </c>
      <c r="M24" t="s">
        <v>35</v>
      </c>
      <c r="O24" t="s">
        <v>35</v>
      </c>
      <c r="R24" t="s">
        <v>1696</v>
      </c>
      <c r="S24" t="b">
        <f>COUNTIF(D:D,R24)&gt;0</f>
        <v>1</v>
      </c>
    </row>
    <row r="25" spans="1:19" x14ac:dyDescent="0.2">
      <c r="A25" t="s">
        <v>28</v>
      </c>
      <c r="B25" t="s">
        <v>28</v>
      </c>
      <c r="C25" t="s">
        <v>89</v>
      </c>
      <c r="D25" t="s">
        <v>77</v>
      </c>
      <c r="E25" t="b">
        <f>COUNTIF(R:R,D25)&gt;0</f>
        <v>1</v>
      </c>
      <c r="F25" t="str">
        <f t="shared" si="0"/>
        <v>OK</v>
      </c>
      <c r="G25" t="s">
        <v>18</v>
      </c>
      <c r="H25" s="1">
        <v>0.02</v>
      </c>
      <c r="I25" t="s">
        <v>75</v>
      </c>
      <c r="J25" t="s">
        <v>67</v>
      </c>
      <c r="K25" t="s">
        <v>22</v>
      </c>
      <c r="M25" t="s">
        <v>35</v>
      </c>
      <c r="O25" t="s">
        <v>22</v>
      </c>
      <c r="R25" t="s">
        <v>133</v>
      </c>
      <c r="S25" t="b">
        <f>COUNTIF(D:D,R25)&gt;0</f>
        <v>1</v>
      </c>
    </row>
    <row r="26" spans="1:19" x14ac:dyDescent="0.2">
      <c r="A26" t="s">
        <v>28</v>
      </c>
      <c r="B26" t="s">
        <v>28</v>
      </c>
      <c r="C26" t="s">
        <v>90</v>
      </c>
      <c r="D26" t="s">
        <v>77</v>
      </c>
      <c r="E26" t="b">
        <f>COUNTIF(R:R,D26)&gt;0</f>
        <v>1</v>
      </c>
      <c r="F26" t="str">
        <f t="shared" si="0"/>
        <v>OK</v>
      </c>
      <c r="G26" t="s">
        <v>18</v>
      </c>
      <c r="H26" s="1">
        <v>0.02</v>
      </c>
      <c r="I26" t="s">
        <v>91</v>
      </c>
      <c r="J26" t="s">
        <v>67</v>
      </c>
      <c r="K26" t="s">
        <v>22</v>
      </c>
      <c r="M26" t="s">
        <v>35</v>
      </c>
      <c r="O26" t="s">
        <v>22</v>
      </c>
      <c r="R26" t="s">
        <v>1688</v>
      </c>
      <c r="S26" t="b">
        <f>COUNTIF(D:D,R26)&gt;0</f>
        <v>1</v>
      </c>
    </row>
    <row r="27" spans="1:19" x14ac:dyDescent="0.2">
      <c r="A27" t="s">
        <v>28</v>
      </c>
      <c r="B27" t="s">
        <v>28</v>
      </c>
      <c r="C27" t="s">
        <v>92</v>
      </c>
      <c r="D27" t="s">
        <v>79</v>
      </c>
      <c r="E27" t="b">
        <f>COUNTIF(R:R,D27)&gt;0</f>
        <v>1</v>
      </c>
      <c r="F27" t="str">
        <f t="shared" si="0"/>
        <v>OK</v>
      </c>
      <c r="G27" t="s">
        <v>18</v>
      </c>
      <c r="H27" s="1">
        <v>0.01</v>
      </c>
      <c r="I27" t="s">
        <v>85</v>
      </c>
      <c r="J27" t="s">
        <v>86</v>
      </c>
      <c r="K27" t="s">
        <v>22</v>
      </c>
      <c r="M27" t="s">
        <v>35</v>
      </c>
      <c r="O27" t="s">
        <v>35</v>
      </c>
      <c r="R27" t="s">
        <v>143</v>
      </c>
      <c r="S27" t="b">
        <f>COUNTIF(D:D,R27)&gt;0</f>
        <v>1</v>
      </c>
    </row>
    <row r="28" spans="1:19" x14ac:dyDescent="0.2">
      <c r="A28" t="s">
        <v>28</v>
      </c>
      <c r="B28" t="s">
        <v>28</v>
      </c>
      <c r="C28" t="s">
        <v>93</v>
      </c>
      <c r="D28" t="s">
        <v>88</v>
      </c>
      <c r="E28" t="b">
        <f>COUNTIF(R:R,D28)&gt;0</f>
        <v>1</v>
      </c>
      <c r="F28" t="str">
        <f t="shared" si="0"/>
        <v>OK</v>
      </c>
      <c r="G28" t="s">
        <v>18</v>
      </c>
      <c r="H28" s="1">
        <v>0.01</v>
      </c>
      <c r="I28" t="s">
        <v>80</v>
      </c>
      <c r="J28" t="s">
        <v>86</v>
      </c>
      <c r="K28" t="s">
        <v>22</v>
      </c>
      <c r="M28" t="s">
        <v>35</v>
      </c>
      <c r="O28" t="s">
        <v>35</v>
      </c>
      <c r="R28" t="s">
        <v>150</v>
      </c>
      <c r="S28" t="b">
        <f>COUNTIF(D:D,R28)&gt;0</f>
        <v>1</v>
      </c>
    </row>
    <row r="29" spans="1:19" x14ac:dyDescent="0.2">
      <c r="A29" t="s">
        <v>28</v>
      </c>
      <c r="B29" t="s">
        <v>28</v>
      </c>
      <c r="C29" t="s">
        <v>94</v>
      </c>
      <c r="D29" t="s">
        <v>95</v>
      </c>
      <c r="E29" t="b">
        <f>COUNTIF(R:R,D29)&gt;0</f>
        <v>1</v>
      </c>
      <c r="F29" t="str">
        <f t="shared" si="0"/>
        <v>OK</v>
      </c>
      <c r="G29" t="s">
        <v>18</v>
      </c>
      <c r="H29" s="1">
        <v>0.02</v>
      </c>
      <c r="I29" t="s">
        <v>91</v>
      </c>
      <c r="J29" t="s">
        <v>55</v>
      </c>
      <c r="K29" t="s">
        <v>22</v>
      </c>
      <c r="M29" t="s">
        <v>35</v>
      </c>
      <c r="O29" t="s">
        <v>22</v>
      </c>
      <c r="R29" t="s">
        <v>160</v>
      </c>
      <c r="S29" t="b">
        <f>COUNTIF(D:D,R29)&gt;0</f>
        <v>1</v>
      </c>
    </row>
    <row r="30" spans="1:19" x14ac:dyDescent="0.2">
      <c r="A30" t="s">
        <v>28</v>
      </c>
      <c r="B30" t="s">
        <v>28</v>
      </c>
      <c r="C30" t="s">
        <v>96</v>
      </c>
      <c r="D30" t="s">
        <v>95</v>
      </c>
      <c r="E30" t="b">
        <f>COUNTIF(R:R,D30)&gt;0</f>
        <v>1</v>
      </c>
      <c r="F30" t="str">
        <f t="shared" si="0"/>
        <v>OK</v>
      </c>
      <c r="G30" t="s">
        <v>18</v>
      </c>
      <c r="H30" s="1">
        <v>0.02</v>
      </c>
      <c r="I30" t="s">
        <v>75</v>
      </c>
      <c r="J30" t="s">
        <v>55</v>
      </c>
      <c r="K30" t="s">
        <v>22</v>
      </c>
      <c r="M30" t="s">
        <v>35</v>
      </c>
      <c r="O30" t="s">
        <v>22</v>
      </c>
      <c r="R30" t="s">
        <v>171</v>
      </c>
      <c r="S30" t="b">
        <f>COUNTIF(D:D,R30)&gt;0</f>
        <v>1</v>
      </c>
    </row>
    <row r="31" spans="1:19" x14ac:dyDescent="0.2">
      <c r="A31" t="s">
        <v>28</v>
      </c>
      <c r="B31" t="s">
        <v>28</v>
      </c>
      <c r="C31" t="s">
        <v>97</v>
      </c>
      <c r="D31" t="s">
        <v>95</v>
      </c>
      <c r="E31" t="b">
        <f>COUNTIF(R:R,D31)&gt;0</f>
        <v>1</v>
      </c>
      <c r="F31" t="str">
        <f t="shared" si="0"/>
        <v>OK</v>
      </c>
      <c r="G31" t="s">
        <v>18</v>
      </c>
      <c r="H31" s="1">
        <v>0.02</v>
      </c>
      <c r="I31" t="s">
        <v>65</v>
      </c>
      <c r="J31" t="s">
        <v>98</v>
      </c>
      <c r="K31" t="s">
        <v>22</v>
      </c>
      <c r="M31" t="s">
        <v>35</v>
      </c>
      <c r="O31" t="s">
        <v>22</v>
      </c>
      <c r="R31" t="s">
        <v>180</v>
      </c>
      <c r="S31" t="b">
        <f>COUNTIF(D:D,R31)&gt;0</f>
        <v>1</v>
      </c>
    </row>
    <row r="32" spans="1:19" x14ac:dyDescent="0.2">
      <c r="A32" t="s">
        <v>28</v>
      </c>
      <c r="B32" t="s">
        <v>28</v>
      </c>
      <c r="C32" t="s">
        <v>99</v>
      </c>
      <c r="D32" t="s">
        <v>100</v>
      </c>
      <c r="E32" t="b">
        <f>COUNTIF(R:R,D32)&gt;0</f>
        <v>1</v>
      </c>
      <c r="F32" t="str">
        <f t="shared" si="0"/>
        <v>OK</v>
      </c>
      <c r="G32" t="s">
        <v>18</v>
      </c>
      <c r="H32" s="1">
        <v>0.01</v>
      </c>
      <c r="I32" t="s">
        <v>101</v>
      </c>
      <c r="J32" t="s">
        <v>102</v>
      </c>
      <c r="K32" t="s">
        <v>22</v>
      </c>
      <c r="M32" t="s">
        <v>35</v>
      </c>
      <c r="O32" t="s">
        <v>35</v>
      </c>
      <c r="R32" t="s">
        <v>60</v>
      </c>
      <c r="S32" t="b">
        <f>COUNTIF(D:D,R32)&gt;0</f>
        <v>1</v>
      </c>
    </row>
    <row r="33" spans="1:19" x14ac:dyDescent="0.2">
      <c r="A33" t="s">
        <v>28</v>
      </c>
      <c r="B33" t="s">
        <v>28</v>
      </c>
      <c r="C33" t="s">
        <v>103</v>
      </c>
      <c r="D33" t="s">
        <v>104</v>
      </c>
      <c r="E33" t="b">
        <f>COUNTIF(R:R,D33)&gt;0</f>
        <v>1</v>
      </c>
      <c r="F33" t="str">
        <f t="shared" si="0"/>
        <v>OK</v>
      </c>
      <c r="G33" t="s">
        <v>18</v>
      </c>
      <c r="H33" s="1">
        <v>0.01</v>
      </c>
      <c r="I33" t="s">
        <v>105</v>
      </c>
      <c r="J33" t="s">
        <v>55</v>
      </c>
      <c r="K33" t="s">
        <v>22</v>
      </c>
      <c r="M33" t="s">
        <v>22</v>
      </c>
      <c r="O33" t="s">
        <v>22</v>
      </c>
      <c r="R33" t="s">
        <v>88</v>
      </c>
      <c r="S33" t="b">
        <f>COUNTIF(D:D,R33)&gt;0</f>
        <v>1</v>
      </c>
    </row>
    <row r="34" spans="1:19" x14ac:dyDescent="0.2">
      <c r="A34" t="s">
        <v>28</v>
      </c>
      <c r="B34" t="s">
        <v>28</v>
      </c>
      <c r="C34" t="s">
        <v>106</v>
      </c>
      <c r="D34" t="s">
        <v>107</v>
      </c>
      <c r="E34" t="b">
        <f>COUNTIF(R:R,D34)&gt;0</f>
        <v>1</v>
      </c>
      <c r="F34" t="str">
        <f t="shared" si="0"/>
        <v>OK</v>
      </c>
      <c r="G34" t="s">
        <v>18</v>
      </c>
      <c r="H34" s="1">
        <v>0.02</v>
      </c>
      <c r="I34" t="s">
        <v>108</v>
      </c>
      <c r="J34" t="s">
        <v>109</v>
      </c>
      <c r="K34" t="s">
        <v>22</v>
      </c>
      <c r="M34" t="s">
        <v>35</v>
      </c>
      <c r="O34" t="s">
        <v>22</v>
      </c>
      <c r="R34" t="s">
        <v>104</v>
      </c>
      <c r="S34" t="b">
        <f>COUNTIF(D:D,R34)&gt;0</f>
        <v>1</v>
      </c>
    </row>
    <row r="35" spans="1:19" x14ac:dyDescent="0.2">
      <c r="A35" t="s">
        <v>28</v>
      </c>
      <c r="B35" t="s">
        <v>28</v>
      </c>
      <c r="C35" t="s">
        <v>110</v>
      </c>
      <c r="D35" t="s">
        <v>111</v>
      </c>
      <c r="E35" t="b">
        <f>COUNTIF(R:R,D35)&gt;0</f>
        <v>1</v>
      </c>
      <c r="F35" t="str">
        <f t="shared" si="0"/>
        <v>OK</v>
      </c>
      <c r="G35" t="s">
        <v>18</v>
      </c>
      <c r="H35" s="1">
        <v>0.02</v>
      </c>
      <c r="I35" t="s">
        <v>80</v>
      </c>
      <c r="J35" t="s">
        <v>112</v>
      </c>
      <c r="K35" t="s">
        <v>22</v>
      </c>
      <c r="M35" t="s">
        <v>35</v>
      </c>
      <c r="O35" t="s">
        <v>22</v>
      </c>
      <c r="R35" t="s">
        <v>119</v>
      </c>
      <c r="S35" t="b">
        <f>COUNTIF(D:D,R35)&gt;0</f>
        <v>1</v>
      </c>
    </row>
    <row r="36" spans="1:19" x14ac:dyDescent="0.2">
      <c r="A36" t="s">
        <v>28</v>
      </c>
      <c r="B36" t="s">
        <v>28</v>
      </c>
      <c r="C36" t="s">
        <v>113</v>
      </c>
      <c r="D36" t="s">
        <v>114</v>
      </c>
      <c r="E36" t="b">
        <f>COUNTIF(R:R,D36)&gt;0</f>
        <v>1</v>
      </c>
      <c r="F36" t="str">
        <f t="shared" si="0"/>
        <v>OK</v>
      </c>
      <c r="G36" t="s">
        <v>18</v>
      </c>
      <c r="H36" s="1">
        <v>0.01</v>
      </c>
      <c r="I36" t="s">
        <v>85</v>
      </c>
      <c r="J36" t="s">
        <v>115</v>
      </c>
      <c r="K36" t="s">
        <v>22</v>
      </c>
      <c r="M36" t="s">
        <v>35</v>
      </c>
      <c r="O36" t="s">
        <v>22</v>
      </c>
      <c r="R36" t="s">
        <v>1702</v>
      </c>
      <c r="S36" t="b">
        <f>COUNTIF(D:D,R36)&gt;0</f>
        <v>1</v>
      </c>
    </row>
    <row r="37" spans="1:19" x14ac:dyDescent="0.2">
      <c r="A37" t="s">
        <v>28</v>
      </c>
      <c r="B37" t="s">
        <v>28</v>
      </c>
      <c r="C37" t="s">
        <v>116</v>
      </c>
      <c r="D37" t="s">
        <v>117</v>
      </c>
      <c r="E37" t="b">
        <f>COUNTIF(R:R,D37)&gt;0</f>
        <v>1</v>
      </c>
      <c r="F37" t="str">
        <f t="shared" si="0"/>
        <v>OK</v>
      </c>
      <c r="G37" t="s">
        <v>18</v>
      </c>
      <c r="H37" s="1">
        <v>0.01</v>
      </c>
      <c r="I37" t="s">
        <v>101</v>
      </c>
      <c r="J37" t="s">
        <v>102</v>
      </c>
      <c r="K37" t="s">
        <v>22</v>
      </c>
      <c r="M37" t="s">
        <v>35</v>
      </c>
      <c r="O37" t="s">
        <v>35</v>
      </c>
      <c r="R37" t="s">
        <v>177</v>
      </c>
      <c r="S37" t="b">
        <f>COUNTIF(D:D,R37)&gt;0</f>
        <v>1</v>
      </c>
    </row>
    <row r="38" spans="1:19" x14ac:dyDescent="0.2">
      <c r="A38" t="s">
        <v>28</v>
      </c>
      <c r="B38" t="s">
        <v>28</v>
      </c>
      <c r="C38" t="s">
        <v>118</v>
      </c>
      <c r="D38" t="s">
        <v>119</v>
      </c>
      <c r="E38" t="b">
        <f>COUNTIF(R:R,D38)&gt;0</f>
        <v>1</v>
      </c>
      <c r="F38" t="str">
        <f t="shared" si="0"/>
        <v>OK</v>
      </c>
      <c r="G38" t="s">
        <v>18</v>
      </c>
      <c r="H38" s="1">
        <v>0.01</v>
      </c>
      <c r="I38" t="s">
        <v>120</v>
      </c>
      <c r="J38" t="s">
        <v>55</v>
      </c>
      <c r="K38" t="s">
        <v>22</v>
      </c>
      <c r="M38" t="s">
        <v>22</v>
      </c>
      <c r="O38" t="s">
        <v>22</v>
      </c>
      <c r="R38" t="s">
        <v>57</v>
      </c>
      <c r="S38" t="b">
        <f>COUNTIF(D:D,R38)&gt;0</f>
        <v>1</v>
      </c>
    </row>
    <row r="39" spans="1:19" x14ac:dyDescent="0.2">
      <c r="A39" t="s">
        <v>28</v>
      </c>
      <c r="B39" t="s">
        <v>28</v>
      </c>
      <c r="C39" t="s">
        <v>121</v>
      </c>
      <c r="D39" t="s">
        <v>122</v>
      </c>
      <c r="E39" t="b">
        <f>COUNTIF(R:R,D39)&gt;0</f>
        <v>1</v>
      </c>
      <c r="F39" t="str">
        <f t="shared" si="0"/>
        <v>OK</v>
      </c>
      <c r="G39" t="s">
        <v>18</v>
      </c>
      <c r="H39" s="1">
        <v>0.01</v>
      </c>
      <c r="I39" t="s">
        <v>85</v>
      </c>
      <c r="J39" t="s">
        <v>123</v>
      </c>
      <c r="K39" t="s">
        <v>22</v>
      </c>
      <c r="M39" t="s">
        <v>35</v>
      </c>
      <c r="O39" t="s">
        <v>35</v>
      </c>
      <c r="R39" t="s">
        <v>69</v>
      </c>
      <c r="S39" t="b">
        <f>COUNTIF(D:D,R39)&gt;0</f>
        <v>1</v>
      </c>
    </row>
    <row r="40" spans="1:19" x14ac:dyDescent="0.2">
      <c r="A40" t="s">
        <v>28</v>
      </c>
      <c r="B40" t="s">
        <v>28</v>
      </c>
      <c r="C40" t="s">
        <v>124</v>
      </c>
      <c r="D40" t="s">
        <v>122</v>
      </c>
      <c r="E40" t="b">
        <f>COUNTIF(R:R,D40)&gt;0</f>
        <v>1</v>
      </c>
      <c r="F40" t="str">
        <f t="shared" si="0"/>
        <v>OK</v>
      </c>
      <c r="G40" t="s">
        <v>18</v>
      </c>
      <c r="H40" s="1">
        <v>0.01</v>
      </c>
      <c r="I40" t="s">
        <v>125</v>
      </c>
      <c r="J40" t="s">
        <v>55</v>
      </c>
      <c r="K40" t="s">
        <v>22</v>
      </c>
      <c r="M40" t="s">
        <v>22</v>
      </c>
      <c r="O40" t="s">
        <v>35</v>
      </c>
      <c r="R40" t="s">
        <v>79</v>
      </c>
      <c r="S40" t="b">
        <f>COUNTIF(D:D,R40)&gt;0</f>
        <v>1</v>
      </c>
    </row>
    <row r="41" spans="1:19" x14ac:dyDescent="0.2">
      <c r="A41" t="s">
        <v>28</v>
      </c>
      <c r="B41" t="s">
        <v>28</v>
      </c>
      <c r="C41" t="s">
        <v>126</v>
      </c>
      <c r="D41" t="s">
        <v>127</v>
      </c>
      <c r="E41" t="b">
        <f>COUNTIF(R:R,D41)&gt;0</f>
        <v>0</v>
      </c>
      <c r="F41" t="str">
        <f t="shared" si="0"/>
        <v>OK</v>
      </c>
      <c r="G41" t="s">
        <v>18</v>
      </c>
      <c r="H41" s="1">
        <v>0.01</v>
      </c>
      <c r="I41" t="s">
        <v>128</v>
      </c>
      <c r="J41" t="s">
        <v>52</v>
      </c>
      <c r="K41" t="s">
        <v>22</v>
      </c>
      <c r="M41" t="s">
        <v>35</v>
      </c>
      <c r="O41" t="s">
        <v>22</v>
      </c>
      <c r="R41" t="s">
        <v>100</v>
      </c>
      <c r="S41" t="b">
        <f>COUNTIF(D:D,R41)&gt;0</f>
        <v>1</v>
      </c>
    </row>
    <row r="42" spans="1:19" x14ac:dyDescent="0.2">
      <c r="A42" t="s">
        <v>28</v>
      </c>
      <c r="B42" t="s">
        <v>28</v>
      </c>
      <c r="C42" t="s">
        <v>129</v>
      </c>
      <c r="D42" t="s">
        <v>130</v>
      </c>
      <c r="E42" t="b">
        <f>COUNTIF(R:R,D42)&gt;0</f>
        <v>1</v>
      </c>
      <c r="F42" t="str">
        <f t="shared" si="0"/>
        <v>OK</v>
      </c>
      <c r="G42" t="s">
        <v>18</v>
      </c>
      <c r="H42" s="1">
        <v>0.01</v>
      </c>
      <c r="I42" t="s">
        <v>131</v>
      </c>
      <c r="K42" t="s">
        <v>22</v>
      </c>
      <c r="M42" t="s">
        <v>22</v>
      </c>
      <c r="O42" t="s">
        <v>22</v>
      </c>
      <c r="R42" t="s">
        <v>117</v>
      </c>
      <c r="S42" t="b">
        <f>COUNTIF(D:D,R42)&gt;0</f>
        <v>1</v>
      </c>
    </row>
    <row r="43" spans="1:19" x14ac:dyDescent="0.2">
      <c r="A43" t="s">
        <v>28</v>
      </c>
      <c r="B43" t="s">
        <v>28</v>
      </c>
      <c r="C43" t="s">
        <v>132</v>
      </c>
      <c r="D43" t="s">
        <v>133</v>
      </c>
      <c r="E43" t="b">
        <f>COUNTIF(R:R,D43)&gt;0</f>
        <v>1</v>
      </c>
      <c r="F43" t="str">
        <f t="shared" si="0"/>
        <v>OK</v>
      </c>
      <c r="G43" t="s">
        <v>30</v>
      </c>
      <c r="H43" s="1">
        <v>0.01</v>
      </c>
      <c r="I43" t="s">
        <v>86</v>
      </c>
      <c r="J43" t="s">
        <v>134</v>
      </c>
      <c r="K43" t="s">
        <v>35</v>
      </c>
      <c r="M43" t="s">
        <v>35</v>
      </c>
      <c r="O43" t="s">
        <v>135</v>
      </c>
      <c r="R43" t="s">
        <v>130</v>
      </c>
      <c r="S43" t="b">
        <f>COUNTIF(D:D,R43)&gt;0</f>
        <v>1</v>
      </c>
    </row>
    <row r="44" spans="1:19" x14ac:dyDescent="0.2">
      <c r="A44" t="s">
        <v>28</v>
      </c>
      <c r="B44" t="s">
        <v>28</v>
      </c>
      <c r="C44" t="s">
        <v>136</v>
      </c>
      <c r="D44" t="s">
        <v>133</v>
      </c>
      <c r="E44" t="b">
        <f>COUNTIF(R:R,D44)&gt;0</f>
        <v>1</v>
      </c>
      <c r="F44" t="str">
        <f t="shared" si="0"/>
        <v>OK</v>
      </c>
      <c r="G44" t="s">
        <v>30</v>
      </c>
      <c r="H44" s="1">
        <v>0.01</v>
      </c>
      <c r="I44" t="s">
        <v>86</v>
      </c>
      <c r="J44" t="s">
        <v>134</v>
      </c>
      <c r="K44" t="s">
        <v>35</v>
      </c>
      <c r="M44" t="s">
        <v>35</v>
      </c>
      <c r="O44" t="s">
        <v>135</v>
      </c>
      <c r="R44" t="s">
        <v>153</v>
      </c>
      <c r="S44" t="b">
        <f>COUNTIF(D:D,R44)&gt;0</f>
        <v>1</v>
      </c>
    </row>
    <row r="45" spans="1:19" x14ac:dyDescent="0.2">
      <c r="A45" t="s">
        <v>28</v>
      </c>
      <c r="B45" t="s">
        <v>28</v>
      </c>
      <c r="C45" t="s">
        <v>137</v>
      </c>
      <c r="D45" t="s">
        <v>1688</v>
      </c>
      <c r="E45" t="b">
        <f>COUNTIF(R:R,D45)&gt;0</f>
        <v>1</v>
      </c>
      <c r="F45" t="str">
        <f t="shared" si="0"/>
        <v>OK</v>
      </c>
      <c r="G45" t="s">
        <v>30</v>
      </c>
      <c r="H45" s="1">
        <v>0</v>
      </c>
      <c r="I45" t="s">
        <v>138</v>
      </c>
      <c r="J45" t="s">
        <v>55</v>
      </c>
      <c r="K45" t="s">
        <v>22</v>
      </c>
      <c r="M45" t="s">
        <v>22</v>
      </c>
      <c r="O45" t="s">
        <v>22</v>
      </c>
      <c r="R45" t="s">
        <v>167</v>
      </c>
      <c r="S45" t="b">
        <f>COUNTIF(D:D,R45)&gt;0</f>
        <v>1</v>
      </c>
    </row>
    <row r="46" spans="1:19" x14ac:dyDescent="0.2">
      <c r="A46" t="s">
        <v>28</v>
      </c>
      <c r="B46" t="s">
        <v>28</v>
      </c>
      <c r="C46" t="s">
        <v>139</v>
      </c>
      <c r="D46" t="s">
        <v>1688</v>
      </c>
      <c r="E46" t="b">
        <f>COUNTIF(R:R,D46)&gt;0</f>
        <v>1</v>
      </c>
      <c r="F46" t="str">
        <f t="shared" si="0"/>
        <v>OK</v>
      </c>
      <c r="G46" t="s">
        <v>30</v>
      </c>
      <c r="H46" s="1">
        <v>0</v>
      </c>
      <c r="I46" t="s">
        <v>140</v>
      </c>
      <c r="J46" t="s">
        <v>55</v>
      </c>
      <c r="K46" t="s">
        <v>22</v>
      </c>
      <c r="M46" t="s">
        <v>22</v>
      </c>
      <c r="O46" t="s">
        <v>22</v>
      </c>
      <c r="R46" t="s">
        <v>174</v>
      </c>
      <c r="S46" t="b">
        <f>COUNTIF(D:D,R46)&gt;0</f>
        <v>1</v>
      </c>
    </row>
    <row r="47" spans="1:19" x14ac:dyDescent="0.2">
      <c r="A47" t="s">
        <v>28</v>
      </c>
      <c r="B47" t="s">
        <v>28</v>
      </c>
      <c r="C47" t="s">
        <v>141</v>
      </c>
      <c r="D47" t="s">
        <v>1688</v>
      </c>
      <c r="E47" t="b">
        <f>COUNTIF(R:R,D47)&gt;0</f>
        <v>1</v>
      </c>
      <c r="F47" t="str">
        <f t="shared" si="0"/>
        <v>OK</v>
      </c>
      <c r="G47" t="s">
        <v>30</v>
      </c>
      <c r="H47" s="1">
        <v>0</v>
      </c>
      <c r="I47" t="s">
        <v>140</v>
      </c>
      <c r="J47" t="s">
        <v>55</v>
      </c>
      <c r="K47" t="s">
        <v>22</v>
      </c>
      <c r="M47" t="s">
        <v>22</v>
      </c>
      <c r="O47" t="s">
        <v>22</v>
      </c>
      <c r="R47" t="s">
        <v>187</v>
      </c>
      <c r="S47" t="b">
        <f>COUNTIF(D:D,R47)&gt;0</f>
        <v>1</v>
      </c>
    </row>
    <row r="48" spans="1:19" x14ac:dyDescent="0.2">
      <c r="A48" t="s">
        <v>28</v>
      </c>
      <c r="B48" t="s">
        <v>28</v>
      </c>
      <c r="C48" t="s">
        <v>142</v>
      </c>
      <c r="D48" t="s">
        <v>143</v>
      </c>
      <c r="E48" t="b">
        <f>COUNTIF(R:R,D48)&gt;0</f>
        <v>1</v>
      </c>
      <c r="F48" t="str">
        <f t="shared" si="0"/>
        <v>OK</v>
      </c>
      <c r="G48" t="s">
        <v>30</v>
      </c>
      <c r="H48" s="1">
        <v>0.03</v>
      </c>
      <c r="I48" t="s">
        <v>144</v>
      </c>
      <c r="J48" t="s">
        <v>145</v>
      </c>
      <c r="K48" t="s">
        <v>146</v>
      </c>
      <c r="M48" t="s">
        <v>35</v>
      </c>
      <c r="O48" t="s">
        <v>22</v>
      </c>
      <c r="R48" t="s">
        <v>194</v>
      </c>
      <c r="S48" t="b">
        <f>COUNTIF(D:D,R48)&gt;0</f>
        <v>1</v>
      </c>
    </row>
    <row r="49" spans="1:19" x14ac:dyDescent="0.2">
      <c r="A49" t="s">
        <v>28</v>
      </c>
      <c r="B49" t="s">
        <v>28</v>
      </c>
      <c r="C49" t="s">
        <v>147</v>
      </c>
      <c r="D49" t="s">
        <v>143</v>
      </c>
      <c r="E49" t="b">
        <f>COUNTIF(R:R,D49)&gt;0</f>
        <v>1</v>
      </c>
      <c r="F49" t="str">
        <f t="shared" si="0"/>
        <v>OK</v>
      </c>
      <c r="G49" t="s">
        <v>30</v>
      </c>
      <c r="H49" s="1">
        <v>0.03</v>
      </c>
      <c r="I49" t="s">
        <v>148</v>
      </c>
      <c r="K49" t="s">
        <v>146</v>
      </c>
      <c r="M49" t="s">
        <v>146</v>
      </c>
      <c r="O49" t="s">
        <v>22</v>
      </c>
      <c r="R49" t="s">
        <v>191</v>
      </c>
      <c r="S49" t="b">
        <f>COUNTIF(D:D,R49)&gt;0</f>
        <v>1</v>
      </c>
    </row>
    <row r="50" spans="1:19" x14ac:dyDescent="0.2">
      <c r="A50" t="s">
        <v>28</v>
      </c>
      <c r="B50" t="s">
        <v>28</v>
      </c>
      <c r="C50" t="s">
        <v>149</v>
      </c>
      <c r="D50" t="s">
        <v>150</v>
      </c>
      <c r="E50" t="b">
        <f>COUNTIF(R:R,D50)&gt;0</f>
        <v>1</v>
      </c>
      <c r="F50" t="str">
        <f t="shared" si="0"/>
        <v>OK</v>
      </c>
      <c r="G50" t="s">
        <v>30</v>
      </c>
      <c r="H50" s="1">
        <v>0.02</v>
      </c>
      <c r="I50" t="s">
        <v>151</v>
      </c>
      <c r="J50" t="s">
        <v>41</v>
      </c>
      <c r="K50" t="s">
        <v>146</v>
      </c>
      <c r="M50" t="s">
        <v>22</v>
      </c>
      <c r="O50" t="s">
        <v>22</v>
      </c>
      <c r="R50" t="s">
        <v>200</v>
      </c>
      <c r="S50" t="b">
        <f>COUNTIF(D:D,R50)&gt;0</f>
        <v>1</v>
      </c>
    </row>
    <row r="51" spans="1:19" x14ac:dyDescent="0.2">
      <c r="A51" t="s">
        <v>28</v>
      </c>
      <c r="B51" t="s">
        <v>28</v>
      </c>
      <c r="C51" t="s">
        <v>152</v>
      </c>
      <c r="D51" t="s">
        <v>153</v>
      </c>
      <c r="E51" t="b">
        <f>COUNTIF(R:R,D51)&gt;0</f>
        <v>1</v>
      </c>
      <c r="F51" t="str">
        <f t="shared" si="0"/>
        <v>OK</v>
      </c>
      <c r="G51" t="s">
        <v>30</v>
      </c>
      <c r="H51" s="1">
        <v>0.02</v>
      </c>
      <c r="I51" t="s">
        <v>144</v>
      </c>
      <c r="J51" t="s">
        <v>123</v>
      </c>
      <c r="K51" t="s">
        <v>146</v>
      </c>
      <c r="M51" t="s">
        <v>35</v>
      </c>
      <c r="O51" t="s">
        <v>22</v>
      </c>
      <c r="R51" t="s">
        <v>219</v>
      </c>
      <c r="S51" t="b">
        <f>COUNTIF(D:D,R51)&gt;0</f>
        <v>1</v>
      </c>
    </row>
    <row r="52" spans="1:19" x14ac:dyDescent="0.2">
      <c r="A52" t="s">
        <v>28</v>
      </c>
      <c r="B52" t="s">
        <v>28</v>
      </c>
      <c r="C52" t="s">
        <v>154</v>
      </c>
      <c r="D52" t="s">
        <v>143</v>
      </c>
      <c r="E52" t="b">
        <f>COUNTIF(R:R,D52)&gt;0</f>
        <v>1</v>
      </c>
      <c r="F52" t="str">
        <f t="shared" si="0"/>
        <v>OK</v>
      </c>
      <c r="G52" t="s">
        <v>30</v>
      </c>
      <c r="H52" s="1">
        <v>0.03</v>
      </c>
      <c r="I52" t="s">
        <v>155</v>
      </c>
      <c r="J52" t="s">
        <v>156</v>
      </c>
      <c r="K52" t="s">
        <v>146</v>
      </c>
      <c r="M52" t="s">
        <v>146</v>
      </c>
      <c r="O52" t="s">
        <v>22</v>
      </c>
      <c r="R52" t="s">
        <v>206</v>
      </c>
      <c r="S52" t="b">
        <f>COUNTIF(D:D,R52)&gt;0</f>
        <v>1</v>
      </c>
    </row>
    <row r="53" spans="1:19" x14ac:dyDescent="0.2">
      <c r="A53" t="s">
        <v>28</v>
      </c>
      <c r="B53" t="s">
        <v>28</v>
      </c>
      <c r="C53" t="s">
        <v>157</v>
      </c>
      <c r="D53" t="s">
        <v>153</v>
      </c>
      <c r="E53" t="b">
        <f>COUNTIF(R:R,D53)&gt;0</f>
        <v>1</v>
      </c>
      <c r="F53" t="str">
        <f t="shared" si="0"/>
        <v>OK</v>
      </c>
      <c r="G53" t="s">
        <v>30</v>
      </c>
      <c r="H53" s="1">
        <v>0.02</v>
      </c>
      <c r="I53" t="s">
        <v>158</v>
      </c>
      <c r="J53" t="s">
        <v>123</v>
      </c>
      <c r="K53" t="s">
        <v>146</v>
      </c>
      <c r="M53" t="s">
        <v>35</v>
      </c>
      <c r="O53" t="s">
        <v>35</v>
      </c>
      <c r="R53" t="s">
        <v>1707</v>
      </c>
      <c r="S53" t="b">
        <f>COUNTIF(D:D,R53)&gt;0</f>
        <v>0</v>
      </c>
    </row>
    <row r="54" spans="1:19" x14ac:dyDescent="0.2">
      <c r="A54" t="s">
        <v>28</v>
      </c>
      <c r="B54" t="s">
        <v>28</v>
      </c>
      <c r="C54" t="s">
        <v>159</v>
      </c>
      <c r="D54" t="s">
        <v>160</v>
      </c>
      <c r="E54" t="b">
        <f>COUNTIF(R:R,D54)&gt;0</f>
        <v>1</v>
      </c>
      <c r="F54" t="str">
        <f t="shared" si="0"/>
        <v>OK</v>
      </c>
      <c r="G54" t="s">
        <v>30</v>
      </c>
      <c r="H54" s="1">
        <v>0.01</v>
      </c>
      <c r="I54" t="s">
        <v>161</v>
      </c>
      <c r="J54" t="s">
        <v>162</v>
      </c>
      <c r="K54" t="s">
        <v>163</v>
      </c>
      <c r="M54" t="s">
        <v>35</v>
      </c>
      <c r="O54" t="s">
        <v>35</v>
      </c>
      <c r="R54" t="s">
        <v>229</v>
      </c>
      <c r="S54" t="b">
        <f>COUNTIF(D:D,R54)&gt;0</f>
        <v>1</v>
      </c>
    </row>
    <row r="55" spans="1:19" x14ac:dyDescent="0.2">
      <c r="A55" t="s">
        <v>28</v>
      </c>
      <c r="B55" t="s">
        <v>28</v>
      </c>
      <c r="C55" t="s">
        <v>164</v>
      </c>
      <c r="D55" t="s">
        <v>160</v>
      </c>
      <c r="E55" t="b">
        <f>COUNTIF(R:R,D55)&gt;0</f>
        <v>1</v>
      </c>
      <c r="F55" t="str">
        <f t="shared" si="0"/>
        <v>OK</v>
      </c>
      <c r="G55" t="s">
        <v>30</v>
      </c>
      <c r="H55" s="1">
        <v>0.01</v>
      </c>
      <c r="I55" t="s">
        <v>165</v>
      </c>
      <c r="J55" t="s">
        <v>20</v>
      </c>
      <c r="K55" t="s">
        <v>163</v>
      </c>
      <c r="M55" t="s">
        <v>35</v>
      </c>
      <c r="O55" t="s">
        <v>35</v>
      </c>
      <c r="R55" t="s">
        <v>1657</v>
      </c>
      <c r="S55" t="b">
        <f>COUNTIF(D:D,R55)&gt;0</f>
        <v>0</v>
      </c>
    </row>
    <row r="56" spans="1:19" x14ac:dyDescent="0.2">
      <c r="A56" t="s">
        <v>28</v>
      </c>
      <c r="B56" t="s">
        <v>28</v>
      </c>
      <c r="C56" t="s">
        <v>166</v>
      </c>
      <c r="D56" t="s">
        <v>167</v>
      </c>
      <c r="E56" t="b">
        <f>COUNTIF(R:R,D56)&gt;0</f>
        <v>1</v>
      </c>
      <c r="F56" t="str">
        <f t="shared" si="0"/>
        <v>OK</v>
      </c>
      <c r="G56" t="s">
        <v>30</v>
      </c>
      <c r="H56" s="1">
        <v>0.01</v>
      </c>
      <c r="I56" t="s">
        <v>168</v>
      </c>
      <c r="J56" t="s">
        <v>169</v>
      </c>
      <c r="K56" t="s">
        <v>163</v>
      </c>
      <c r="M56" t="s">
        <v>22</v>
      </c>
      <c r="O56" t="s">
        <v>22</v>
      </c>
      <c r="R56" t="s">
        <v>240</v>
      </c>
      <c r="S56" t="b">
        <f>COUNTIF(D:D,R56)&gt;0</f>
        <v>1</v>
      </c>
    </row>
    <row r="57" spans="1:19" x14ac:dyDescent="0.2">
      <c r="A57" t="s">
        <v>28</v>
      </c>
      <c r="B57" t="s">
        <v>28</v>
      </c>
      <c r="C57" t="s">
        <v>170</v>
      </c>
      <c r="D57" t="s">
        <v>171</v>
      </c>
      <c r="E57" t="b">
        <f>COUNTIF(R:R,D57)&gt;0</f>
        <v>1</v>
      </c>
      <c r="F57" t="str">
        <f t="shared" si="0"/>
        <v>OK</v>
      </c>
      <c r="G57" t="s">
        <v>30</v>
      </c>
      <c r="H57" s="1">
        <v>0.01</v>
      </c>
      <c r="I57" t="s">
        <v>169</v>
      </c>
      <c r="J57" t="s">
        <v>172</v>
      </c>
      <c r="K57" t="s">
        <v>163</v>
      </c>
      <c r="M57" t="s">
        <v>35</v>
      </c>
      <c r="O57" t="s">
        <v>35</v>
      </c>
      <c r="R57" t="s">
        <v>1662</v>
      </c>
      <c r="S57" t="b">
        <f>COUNTIF(D:D,R57)&gt;0</f>
        <v>1</v>
      </c>
    </row>
    <row r="58" spans="1:19" x14ac:dyDescent="0.2">
      <c r="A58" t="s">
        <v>28</v>
      </c>
      <c r="B58" t="s">
        <v>28</v>
      </c>
      <c r="C58" t="s">
        <v>173</v>
      </c>
      <c r="D58" t="s">
        <v>174</v>
      </c>
      <c r="E58" t="b">
        <f>COUNTIF(R:R,D58)&gt;0</f>
        <v>1</v>
      </c>
      <c r="F58" t="str">
        <f t="shared" si="0"/>
        <v>OK</v>
      </c>
      <c r="G58" t="s">
        <v>30</v>
      </c>
      <c r="H58" s="1">
        <v>0.01</v>
      </c>
      <c r="I58" t="s">
        <v>47</v>
      </c>
      <c r="J58" t="s">
        <v>175</v>
      </c>
      <c r="K58" t="s">
        <v>163</v>
      </c>
      <c r="M58" t="s">
        <v>22</v>
      </c>
      <c r="O58" t="s">
        <v>22</v>
      </c>
      <c r="R58" t="s">
        <v>1647</v>
      </c>
      <c r="S58" t="b">
        <f>COUNTIF(D:D,R58)&gt;0</f>
        <v>0</v>
      </c>
    </row>
    <row r="59" spans="1:19" x14ac:dyDescent="0.2">
      <c r="A59" t="s">
        <v>28</v>
      </c>
      <c r="B59" t="s">
        <v>28</v>
      </c>
      <c r="C59" t="s">
        <v>176</v>
      </c>
      <c r="D59" t="s">
        <v>177</v>
      </c>
      <c r="E59" t="b">
        <f>COUNTIF(R:R,D59)&gt;0</f>
        <v>1</v>
      </c>
      <c r="F59" t="str">
        <f t="shared" si="0"/>
        <v>OK</v>
      </c>
      <c r="G59" t="s">
        <v>30</v>
      </c>
      <c r="H59" s="1">
        <v>0.01</v>
      </c>
      <c r="I59" t="s">
        <v>83</v>
      </c>
      <c r="J59" t="s">
        <v>178</v>
      </c>
      <c r="K59" t="s">
        <v>163</v>
      </c>
      <c r="M59" t="s">
        <v>22</v>
      </c>
      <c r="O59" t="s">
        <v>22</v>
      </c>
      <c r="R59" t="s">
        <v>246</v>
      </c>
      <c r="S59" t="b">
        <f>COUNTIF(D:D,R59)&gt;0</f>
        <v>1</v>
      </c>
    </row>
    <row r="60" spans="1:19" x14ac:dyDescent="0.2">
      <c r="A60" t="s">
        <v>28</v>
      </c>
      <c r="B60" t="s">
        <v>28</v>
      </c>
      <c r="C60" t="s">
        <v>179</v>
      </c>
      <c r="D60" t="s">
        <v>180</v>
      </c>
      <c r="E60" t="b">
        <f>COUNTIF(R:R,D60)&gt;0</f>
        <v>1</v>
      </c>
      <c r="F60" t="str">
        <f t="shared" si="0"/>
        <v>OK</v>
      </c>
      <c r="G60" t="s">
        <v>18</v>
      </c>
      <c r="H60" s="1">
        <v>0.01</v>
      </c>
      <c r="I60" t="s">
        <v>43</v>
      </c>
      <c r="J60" t="s">
        <v>181</v>
      </c>
      <c r="K60" t="s">
        <v>22</v>
      </c>
      <c r="M60" t="s">
        <v>35</v>
      </c>
      <c r="O60" t="s">
        <v>22</v>
      </c>
      <c r="R60" t="s">
        <v>1644</v>
      </c>
      <c r="S60" t="b">
        <f>COUNTIF(D:D,R60)&gt;0</f>
        <v>0</v>
      </c>
    </row>
    <row r="61" spans="1:19" x14ac:dyDescent="0.2">
      <c r="A61" t="s">
        <v>28</v>
      </c>
      <c r="B61" t="s">
        <v>28</v>
      </c>
      <c r="C61" t="s">
        <v>182</v>
      </c>
      <c r="D61" t="s">
        <v>180</v>
      </c>
      <c r="E61" t="b">
        <f>COUNTIF(R:R,D61)&gt;0</f>
        <v>1</v>
      </c>
      <c r="F61" t="str">
        <f t="shared" si="0"/>
        <v>OK</v>
      </c>
      <c r="G61" t="s">
        <v>18</v>
      </c>
      <c r="H61" s="1">
        <v>0.01</v>
      </c>
      <c r="I61" t="s">
        <v>43</v>
      </c>
      <c r="J61" t="s">
        <v>123</v>
      </c>
      <c r="K61" t="s">
        <v>22</v>
      </c>
      <c r="M61" t="s">
        <v>35</v>
      </c>
      <c r="O61" t="s">
        <v>22</v>
      </c>
      <c r="R61" t="s">
        <v>249</v>
      </c>
      <c r="S61" t="b">
        <f>COUNTIF(D:D,R61)&gt;0</f>
        <v>1</v>
      </c>
    </row>
    <row r="62" spans="1:19" x14ac:dyDescent="0.2">
      <c r="A62" t="s">
        <v>28</v>
      </c>
      <c r="B62" t="s">
        <v>28</v>
      </c>
      <c r="C62" t="s">
        <v>183</v>
      </c>
      <c r="D62" t="s">
        <v>180</v>
      </c>
      <c r="E62" t="b">
        <f>COUNTIF(R:R,D62)&gt;0</f>
        <v>1</v>
      </c>
      <c r="F62" t="str">
        <f t="shared" si="0"/>
        <v>OK</v>
      </c>
      <c r="G62" t="s">
        <v>18</v>
      </c>
      <c r="H62" s="1">
        <v>0.01</v>
      </c>
      <c r="I62" t="s">
        <v>65</v>
      </c>
      <c r="J62" t="s">
        <v>123</v>
      </c>
      <c r="K62" t="s">
        <v>22</v>
      </c>
      <c r="M62" t="s">
        <v>35</v>
      </c>
      <c r="O62" t="s">
        <v>22</v>
      </c>
      <c r="R62" t="s">
        <v>1695</v>
      </c>
      <c r="S62" t="b">
        <f>COUNTIF(D:D,R62)&gt;0</f>
        <v>0</v>
      </c>
    </row>
    <row r="63" spans="1:19" x14ac:dyDescent="0.2">
      <c r="A63" t="s">
        <v>28</v>
      </c>
      <c r="B63" t="s">
        <v>28</v>
      </c>
      <c r="C63" t="s">
        <v>184</v>
      </c>
      <c r="D63" t="s">
        <v>180</v>
      </c>
      <c r="E63" t="b">
        <f>COUNTIF(R:R,D63)&gt;0</f>
        <v>1</v>
      </c>
      <c r="F63" t="str">
        <f t="shared" si="0"/>
        <v>OK</v>
      </c>
      <c r="G63" t="s">
        <v>18</v>
      </c>
      <c r="H63" s="1">
        <v>0.01</v>
      </c>
      <c r="I63" t="s">
        <v>185</v>
      </c>
      <c r="J63" t="s">
        <v>109</v>
      </c>
      <c r="K63" t="s">
        <v>22</v>
      </c>
      <c r="M63" t="s">
        <v>35</v>
      </c>
      <c r="O63" t="s">
        <v>22</v>
      </c>
      <c r="R63" t="s">
        <v>1650</v>
      </c>
      <c r="S63" t="b">
        <f>COUNTIF(D:D,R63)&gt;0</f>
        <v>0</v>
      </c>
    </row>
    <row r="64" spans="1:19" x14ac:dyDescent="0.2">
      <c r="A64" t="s">
        <v>28</v>
      </c>
      <c r="B64" t="s">
        <v>28</v>
      </c>
      <c r="C64" t="s">
        <v>186</v>
      </c>
      <c r="D64" t="s">
        <v>187</v>
      </c>
      <c r="E64" t="b">
        <f>COUNTIF(R:R,D64)&gt;0</f>
        <v>1</v>
      </c>
      <c r="F64" t="str">
        <f t="shared" si="0"/>
        <v>OK</v>
      </c>
      <c r="G64" t="s">
        <v>18</v>
      </c>
      <c r="H64" s="1">
        <v>0.01</v>
      </c>
      <c r="I64" t="s">
        <v>188</v>
      </c>
      <c r="J64" t="s">
        <v>189</v>
      </c>
      <c r="K64" t="s">
        <v>35</v>
      </c>
      <c r="M64" t="s">
        <v>35</v>
      </c>
      <c r="O64" t="s">
        <v>22</v>
      </c>
      <c r="R64" t="s">
        <v>254</v>
      </c>
      <c r="S64" t="b">
        <f>COUNTIF(D:D,R64)&gt;0</f>
        <v>1</v>
      </c>
    </row>
    <row r="65" spans="1:19" x14ac:dyDescent="0.2">
      <c r="A65" t="s">
        <v>28</v>
      </c>
      <c r="B65" t="s">
        <v>28</v>
      </c>
      <c r="C65" t="s">
        <v>190</v>
      </c>
      <c r="D65" t="s">
        <v>191</v>
      </c>
      <c r="E65" t="b">
        <f>COUNTIF(R:R,D65)&gt;0</f>
        <v>1</v>
      </c>
      <c r="F65" t="str">
        <f t="shared" si="0"/>
        <v>OK</v>
      </c>
      <c r="G65" t="s">
        <v>18</v>
      </c>
      <c r="H65" s="1">
        <v>0.01</v>
      </c>
      <c r="I65" t="s">
        <v>188</v>
      </c>
      <c r="J65" t="s">
        <v>192</v>
      </c>
      <c r="K65" t="s">
        <v>35</v>
      </c>
      <c r="M65" t="s">
        <v>35</v>
      </c>
      <c r="O65" t="s">
        <v>22</v>
      </c>
      <c r="R65" t="s">
        <v>1711</v>
      </c>
      <c r="S65" t="b">
        <f>COUNTIF(D:D,R65)&gt;0</f>
        <v>0</v>
      </c>
    </row>
    <row r="66" spans="1:19" x14ac:dyDescent="0.2">
      <c r="A66" t="s">
        <v>28</v>
      </c>
      <c r="B66" t="s">
        <v>28</v>
      </c>
      <c r="C66" t="s">
        <v>193</v>
      </c>
      <c r="D66" t="s">
        <v>194</v>
      </c>
      <c r="E66" t="b">
        <f>COUNTIF(R:R,D66)&gt;0</f>
        <v>1</v>
      </c>
      <c r="F66" t="str">
        <f t="shared" si="0"/>
        <v>OK</v>
      </c>
      <c r="G66" t="s">
        <v>18</v>
      </c>
      <c r="H66" s="1">
        <v>0.01</v>
      </c>
      <c r="I66" t="s">
        <v>195</v>
      </c>
      <c r="J66" t="s">
        <v>134</v>
      </c>
      <c r="K66" t="s">
        <v>35</v>
      </c>
      <c r="M66" t="s">
        <v>35</v>
      </c>
      <c r="O66" t="s">
        <v>22</v>
      </c>
      <c r="R66" t="s">
        <v>1701</v>
      </c>
      <c r="S66" t="b">
        <f>COUNTIF(D:D,R66)&gt;0</f>
        <v>0</v>
      </c>
    </row>
    <row r="67" spans="1:19" x14ac:dyDescent="0.2">
      <c r="A67" t="s">
        <v>28</v>
      </c>
      <c r="B67" t="s">
        <v>28</v>
      </c>
      <c r="C67" t="s">
        <v>196</v>
      </c>
      <c r="D67" t="s">
        <v>187</v>
      </c>
      <c r="E67" t="b">
        <f>COUNTIF(R:R,D67)&gt;0</f>
        <v>1</v>
      </c>
      <c r="F67" t="str">
        <f t="shared" ref="F67:F130" si="1">IF(COUNTIF(C67,"*hybrid*")&gt;0,
     IF(COUNTIF(D67,"*hybrid*")&gt;0,"OK","Mismatch"),
     "OK")</f>
        <v>OK</v>
      </c>
      <c r="G67" t="s">
        <v>18</v>
      </c>
      <c r="H67" s="1">
        <v>0.01</v>
      </c>
      <c r="I67" t="s">
        <v>197</v>
      </c>
      <c r="J67" t="s">
        <v>172</v>
      </c>
      <c r="K67" t="s">
        <v>35</v>
      </c>
      <c r="M67" t="s">
        <v>35</v>
      </c>
      <c r="O67" t="s">
        <v>22</v>
      </c>
      <c r="R67" t="s">
        <v>256</v>
      </c>
      <c r="S67" t="b">
        <f>COUNTIF(D:D,R67)&gt;0</f>
        <v>1</v>
      </c>
    </row>
    <row r="68" spans="1:19" x14ac:dyDescent="0.2">
      <c r="A68" t="s">
        <v>198</v>
      </c>
      <c r="B68" t="s">
        <v>198</v>
      </c>
      <c r="C68" t="s">
        <v>199</v>
      </c>
      <c r="D68" t="s">
        <v>200</v>
      </c>
      <c r="E68" t="b">
        <f>COUNTIF(R:R,D68)&gt;0</f>
        <v>1</v>
      </c>
      <c r="F68" t="str">
        <f t="shared" si="1"/>
        <v>OK</v>
      </c>
      <c r="G68" t="s">
        <v>30</v>
      </c>
      <c r="H68" s="1">
        <v>0</v>
      </c>
      <c r="I68" t="s">
        <v>201</v>
      </c>
      <c r="K68" t="s">
        <v>21</v>
      </c>
      <c r="M68" t="s">
        <v>22</v>
      </c>
      <c r="O68" t="s">
        <v>22</v>
      </c>
      <c r="R68" t="s">
        <v>1648</v>
      </c>
      <c r="S68" t="b">
        <f>COUNTIF(D:D,R68)&gt;0</f>
        <v>0</v>
      </c>
    </row>
    <row r="69" spans="1:19" x14ac:dyDescent="0.2">
      <c r="A69" t="s">
        <v>198</v>
      </c>
      <c r="B69" t="s">
        <v>198</v>
      </c>
      <c r="C69" t="s">
        <v>202</v>
      </c>
      <c r="D69" t="s">
        <v>200</v>
      </c>
      <c r="E69" t="b">
        <f>COUNTIF(R:R,D69)&gt;0</f>
        <v>1</v>
      </c>
      <c r="F69" t="str">
        <f t="shared" si="1"/>
        <v>OK</v>
      </c>
      <c r="G69" t="s">
        <v>30</v>
      </c>
      <c r="H69" s="1">
        <v>0</v>
      </c>
      <c r="I69" t="s">
        <v>201</v>
      </c>
      <c r="K69" t="s">
        <v>21</v>
      </c>
      <c r="M69" t="s">
        <v>22</v>
      </c>
      <c r="O69" t="s">
        <v>22</v>
      </c>
      <c r="R69" t="s">
        <v>1691</v>
      </c>
      <c r="S69" t="b">
        <f>COUNTIF(D:D,R69)&gt;0</f>
        <v>1</v>
      </c>
    </row>
    <row r="70" spans="1:19" x14ac:dyDescent="0.2">
      <c r="A70" t="s">
        <v>198</v>
      </c>
      <c r="B70" t="s">
        <v>198</v>
      </c>
      <c r="C70" t="s">
        <v>203</v>
      </c>
      <c r="D70" t="s">
        <v>204</v>
      </c>
      <c r="E70" t="b">
        <f>COUNTIF(R:R,D70)&gt;0</f>
        <v>0</v>
      </c>
      <c r="F70" t="str">
        <f t="shared" si="1"/>
        <v>OK</v>
      </c>
      <c r="G70" t="s">
        <v>30</v>
      </c>
      <c r="H70" s="1">
        <v>0</v>
      </c>
      <c r="I70" t="s">
        <v>75</v>
      </c>
      <c r="K70" t="s">
        <v>21</v>
      </c>
      <c r="M70" t="s">
        <v>22</v>
      </c>
      <c r="O70" t="s">
        <v>22</v>
      </c>
      <c r="R70" t="s">
        <v>1692</v>
      </c>
      <c r="S70" t="b">
        <f>COUNTIF(D:D,R70)&gt;0</f>
        <v>1</v>
      </c>
    </row>
    <row r="71" spans="1:19" x14ac:dyDescent="0.2">
      <c r="A71" t="s">
        <v>198</v>
      </c>
      <c r="B71" t="s">
        <v>198</v>
      </c>
      <c r="C71" t="s">
        <v>205</v>
      </c>
      <c r="D71" t="s">
        <v>206</v>
      </c>
      <c r="E71" t="b">
        <f>COUNTIF(R:R,D71)&gt;0</f>
        <v>1</v>
      </c>
      <c r="F71" t="str">
        <f t="shared" si="1"/>
        <v>OK</v>
      </c>
      <c r="G71" t="s">
        <v>18</v>
      </c>
      <c r="H71" s="1">
        <v>0</v>
      </c>
      <c r="I71" t="s">
        <v>207</v>
      </c>
      <c r="J71" t="s">
        <v>208</v>
      </c>
      <c r="K71" t="s">
        <v>21</v>
      </c>
      <c r="M71" t="s">
        <v>22</v>
      </c>
      <c r="O71" t="s">
        <v>22</v>
      </c>
      <c r="R71" t="s">
        <v>1659</v>
      </c>
      <c r="S71" t="b">
        <f>COUNTIF(D:D,R71)&gt;0</f>
        <v>0</v>
      </c>
    </row>
    <row r="72" spans="1:19" x14ac:dyDescent="0.2">
      <c r="A72" t="s">
        <v>198</v>
      </c>
      <c r="B72" t="s">
        <v>198</v>
      </c>
      <c r="C72" t="s">
        <v>209</v>
      </c>
      <c r="D72" t="s">
        <v>206</v>
      </c>
      <c r="E72" t="b">
        <f>COUNTIF(R:R,D72)&gt;0</f>
        <v>1</v>
      </c>
      <c r="F72" t="str">
        <f t="shared" si="1"/>
        <v>OK</v>
      </c>
      <c r="G72" t="s">
        <v>18</v>
      </c>
      <c r="H72" s="1">
        <v>0</v>
      </c>
      <c r="I72" t="s">
        <v>210</v>
      </c>
      <c r="J72" t="s">
        <v>208</v>
      </c>
      <c r="K72" t="s">
        <v>21</v>
      </c>
      <c r="M72" t="s">
        <v>22</v>
      </c>
      <c r="O72" t="s">
        <v>22</v>
      </c>
      <c r="R72" t="s">
        <v>1661</v>
      </c>
      <c r="S72" t="b">
        <f>COUNTIF(D:D,R72)&gt;0</f>
        <v>0</v>
      </c>
    </row>
    <row r="73" spans="1:19" x14ac:dyDescent="0.2">
      <c r="A73" t="s">
        <v>198</v>
      </c>
      <c r="B73" t="s">
        <v>198</v>
      </c>
      <c r="C73" t="s">
        <v>211</v>
      </c>
      <c r="D73" t="s">
        <v>212</v>
      </c>
      <c r="E73" t="b">
        <f>COUNTIF(R:R,D73)&gt;0</f>
        <v>0</v>
      </c>
      <c r="F73" t="str">
        <f t="shared" si="1"/>
        <v>OK</v>
      </c>
      <c r="G73" t="s">
        <v>18</v>
      </c>
      <c r="H73" s="1">
        <v>0</v>
      </c>
      <c r="I73" t="s">
        <v>213</v>
      </c>
      <c r="J73" t="s">
        <v>214</v>
      </c>
      <c r="K73" t="s">
        <v>21</v>
      </c>
      <c r="M73" t="s">
        <v>22</v>
      </c>
      <c r="O73" t="s">
        <v>22</v>
      </c>
      <c r="R73" t="s">
        <v>1655</v>
      </c>
      <c r="S73" t="b">
        <f>COUNTIF(D:D,R73)&gt;0</f>
        <v>0</v>
      </c>
    </row>
    <row r="74" spans="1:19" x14ac:dyDescent="0.2">
      <c r="A74" t="s">
        <v>198</v>
      </c>
      <c r="B74" t="s">
        <v>198</v>
      </c>
      <c r="C74" t="s">
        <v>215</v>
      </c>
      <c r="D74" t="s">
        <v>212</v>
      </c>
      <c r="E74" t="b">
        <f>COUNTIF(R:R,D74)&gt;0</f>
        <v>0</v>
      </c>
      <c r="F74" t="str">
        <f t="shared" si="1"/>
        <v>OK</v>
      </c>
      <c r="G74" t="s">
        <v>18</v>
      </c>
      <c r="H74" s="1">
        <v>0</v>
      </c>
      <c r="I74" t="s">
        <v>216</v>
      </c>
      <c r="J74" t="s">
        <v>217</v>
      </c>
      <c r="K74" t="s">
        <v>21</v>
      </c>
      <c r="M74" t="s">
        <v>22</v>
      </c>
      <c r="O74" t="s">
        <v>22</v>
      </c>
      <c r="R74" t="s">
        <v>261</v>
      </c>
      <c r="S74" t="b">
        <f>COUNTIF(D:D,R74)&gt;0</f>
        <v>1</v>
      </c>
    </row>
    <row r="75" spans="1:19" x14ac:dyDescent="0.2">
      <c r="A75" t="s">
        <v>198</v>
      </c>
      <c r="B75" t="s">
        <v>198</v>
      </c>
      <c r="C75" t="s">
        <v>218</v>
      </c>
      <c r="D75" t="s">
        <v>219</v>
      </c>
      <c r="E75" t="b">
        <f>COUNTIF(R:R,D75)&gt;0</f>
        <v>1</v>
      </c>
      <c r="F75" t="str">
        <f t="shared" si="1"/>
        <v>OK</v>
      </c>
      <c r="G75" t="s">
        <v>18</v>
      </c>
      <c r="H75" s="1">
        <v>0</v>
      </c>
      <c r="I75" t="s">
        <v>220</v>
      </c>
      <c r="J75" t="s">
        <v>55</v>
      </c>
      <c r="K75" t="s">
        <v>21</v>
      </c>
      <c r="M75" t="s">
        <v>22</v>
      </c>
      <c r="O75" t="s">
        <v>22</v>
      </c>
      <c r="R75" t="s">
        <v>263</v>
      </c>
      <c r="S75" t="b">
        <f>COUNTIF(D:D,R75)&gt;0</f>
        <v>1</v>
      </c>
    </row>
    <row r="76" spans="1:19" x14ac:dyDescent="0.2">
      <c r="A76" t="s">
        <v>198</v>
      </c>
      <c r="B76" t="s">
        <v>198</v>
      </c>
      <c r="C76" t="s">
        <v>221</v>
      </c>
      <c r="D76" t="s">
        <v>219</v>
      </c>
      <c r="E76" t="b">
        <f>COUNTIF(R:R,D76)&gt;0</f>
        <v>1</v>
      </c>
      <c r="F76" t="str">
        <f t="shared" si="1"/>
        <v>OK</v>
      </c>
      <c r="G76" t="s">
        <v>18</v>
      </c>
      <c r="H76" s="1">
        <v>0</v>
      </c>
      <c r="I76" t="s">
        <v>222</v>
      </c>
      <c r="J76" t="s">
        <v>55</v>
      </c>
      <c r="K76" t="s">
        <v>21</v>
      </c>
      <c r="M76" t="s">
        <v>22</v>
      </c>
      <c r="O76" t="s">
        <v>22</v>
      </c>
      <c r="R76" t="s">
        <v>265</v>
      </c>
      <c r="S76" t="b">
        <f>COUNTIF(D:D,R76)&gt;0</f>
        <v>1</v>
      </c>
    </row>
    <row r="77" spans="1:19" x14ac:dyDescent="0.2">
      <c r="A77" t="s">
        <v>198</v>
      </c>
      <c r="B77" t="s">
        <v>198</v>
      </c>
      <c r="C77" t="s">
        <v>223</v>
      </c>
      <c r="D77" t="s">
        <v>219</v>
      </c>
      <c r="E77" t="b">
        <f>COUNTIF(R:R,D77)&gt;0</f>
        <v>1</v>
      </c>
      <c r="F77" t="str">
        <f t="shared" si="1"/>
        <v>OK</v>
      </c>
      <c r="G77" t="s">
        <v>18</v>
      </c>
      <c r="H77" s="1">
        <v>0</v>
      </c>
      <c r="I77" t="s">
        <v>222</v>
      </c>
      <c r="J77" t="s">
        <v>55</v>
      </c>
      <c r="K77" t="s">
        <v>21</v>
      </c>
      <c r="M77" t="s">
        <v>22</v>
      </c>
      <c r="O77" t="s">
        <v>22</v>
      </c>
      <c r="R77" t="s">
        <v>279</v>
      </c>
      <c r="S77" t="b">
        <f>COUNTIF(D:D,R77)&gt;0</f>
        <v>1</v>
      </c>
    </row>
    <row r="78" spans="1:19" x14ac:dyDescent="0.2">
      <c r="A78" t="s">
        <v>198</v>
      </c>
      <c r="B78" t="s">
        <v>198</v>
      </c>
      <c r="C78" t="s">
        <v>224</v>
      </c>
      <c r="D78" t="s">
        <v>219</v>
      </c>
      <c r="E78" t="b">
        <f>COUNTIF(R:R,D78)&gt;0</f>
        <v>1</v>
      </c>
      <c r="F78" t="str">
        <f t="shared" si="1"/>
        <v>OK</v>
      </c>
      <c r="G78" t="s">
        <v>18</v>
      </c>
      <c r="H78" s="1">
        <v>0</v>
      </c>
      <c r="I78" t="s">
        <v>225</v>
      </c>
      <c r="K78" t="s">
        <v>21</v>
      </c>
      <c r="M78" t="s">
        <v>22</v>
      </c>
      <c r="O78" t="s">
        <v>22</v>
      </c>
      <c r="R78" t="s">
        <v>283</v>
      </c>
      <c r="S78" t="b">
        <f>COUNTIF(D:D,R78)&gt;0</f>
        <v>1</v>
      </c>
    </row>
    <row r="79" spans="1:19" x14ac:dyDescent="0.2">
      <c r="A79" t="s">
        <v>226</v>
      </c>
      <c r="B79" t="s">
        <v>227</v>
      </c>
      <c r="C79" t="s">
        <v>228</v>
      </c>
      <c r="D79" t="s">
        <v>229</v>
      </c>
      <c r="E79" t="b">
        <f>COUNTIF(R:R,D79)&gt;0</f>
        <v>1</v>
      </c>
      <c r="F79" t="str">
        <f t="shared" si="1"/>
        <v>OK</v>
      </c>
      <c r="G79" t="s">
        <v>18</v>
      </c>
      <c r="H79" s="1">
        <v>0.09</v>
      </c>
      <c r="I79" t="s">
        <v>230</v>
      </c>
      <c r="J79" t="s">
        <v>231</v>
      </c>
      <c r="K79" t="s">
        <v>146</v>
      </c>
      <c r="M79" t="s">
        <v>232</v>
      </c>
      <c r="N79" t="s">
        <v>233</v>
      </c>
      <c r="O79" t="s">
        <v>22</v>
      </c>
      <c r="R79" t="s">
        <v>289</v>
      </c>
      <c r="S79" t="b">
        <f>COUNTIF(D:D,R79)&gt;0</f>
        <v>1</v>
      </c>
    </row>
    <row r="80" spans="1:19" x14ac:dyDescent="0.2">
      <c r="A80" t="s">
        <v>226</v>
      </c>
      <c r="B80" t="s">
        <v>227</v>
      </c>
      <c r="C80" t="s">
        <v>234</v>
      </c>
      <c r="D80" t="s">
        <v>229</v>
      </c>
      <c r="E80" t="b">
        <f>COUNTIF(R:R,D80)&gt;0</f>
        <v>1</v>
      </c>
      <c r="F80" t="str">
        <f t="shared" si="1"/>
        <v>OK</v>
      </c>
      <c r="G80" t="s">
        <v>18</v>
      </c>
      <c r="H80" s="1">
        <v>0.05</v>
      </c>
      <c r="I80" t="s">
        <v>235</v>
      </c>
      <c r="K80" t="s">
        <v>22</v>
      </c>
      <c r="M80" t="s">
        <v>22</v>
      </c>
      <c r="O80" t="s">
        <v>236</v>
      </c>
      <c r="R80" t="s">
        <v>293</v>
      </c>
      <c r="S80" t="b">
        <f>COUNTIF(D:D,R80)&gt;0</f>
        <v>1</v>
      </c>
    </row>
    <row r="81" spans="1:19" x14ac:dyDescent="0.2">
      <c r="A81" t="s">
        <v>226</v>
      </c>
      <c r="B81" t="s">
        <v>227</v>
      </c>
      <c r="C81" t="s">
        <v>237</v>
      </c>
      <c r="D81" t="s">
        <v>1662</v>
      </c>
      <c r="E81" t="b">
        <f>COUNTIF(R:R,D81)&gt;0</f>
        <v>1</v>
      </c>
      <c r="F81" t="str">
        <f t="shared" si="1"/>
        <v>OK</v>
      </c>
      <c r="G81" t="s">
        <v>18</v>
      </c>
      <c r="H81" s="1">
        <v>0.05</v>
      </c>
      <c r="I81" t="s">
        <v>47</v>
      </c>
      <c r="K81" t="s">
        <v>22</v>
      </c>
      <c r="M81" t="s">
        <v>22</v>
      </c>
      <c r="O81" t="s">
        <v>22</v>
      </c>
      <c r="R81" t="s">
        <v>296</v>
      </c>
      <c r="S81" t="b">
        <f>COUNTIF(D:D,R81)&gt;0</f>
        <v>1</v>
      </c>
    </row>
    <row r="82" spans="1:19" x14ac:dyDescent="0.2">
      <c r="A82" t="s">
        <v>226</v>
      </c>
      <c r="B82" t="s">
        <v>227</v>
      </c>
      <c r="C82" t="s">
        <v>237</v>
      </c>
      <c r="D82" t="s">
        <v>1662</v>
      </c>
      <c r="E82" t="b">
        <f>COUNTIF(R:R,D82)&gt;0</f>
        <v>1</v>
      </c>
      <c r="F82" t="str">
        <f t="shared" si="1"/>
        <v>OK</v>
      </c>
      <c r="G82" t="s">
        <v>18</v>
      </c>
      <c r="H82" s="1">
        <v>0.1</v>
      </c>
      <c r="I82" t="s">
        <v>217</v>
      </c>
      <c r="J82" t="s">
        <v>238</v>
      </c>
      <c r="K82" t="s">
        <v>146</v>
      </c>
      <c r="M82" t="s">
        <v>22</v>
      </c>
      <c r="O82" t="s">
        <v>22</v>
      </c>
      <c r="R82" t="s">
        <v>301</v>
      </c>
      <c r="S82" t="b">
        <f>COUNTIF(D:D,R82)&gt;0</f>
        <v>1</v>
      </c>
    </row>
    <row r="83" spans="1:19" x14ac:dyDescent="0.2">
      <c r="A83" t="s">
        <v>226</v>
      </c>
      <c r="B83" t="s">
        <v>227</v>
      </c>
      <c r="C83" t="s">
        <v>239</v>
      </c>
      <c r="D83" t="s">
        <v>240</v>
      </c>
      <c r="E83" t="b">
        <f>COUNTIF(R:R,D83)&gt;0</f>
        <v>1</v>
      </c>
      <c r="F83" t="str">
        <f t="shared" si="1"/>
        <v>OK</v>
      </c>
      <c r="G83" t="s">
        <v>18</v>
      </c>
      <c r="H83" s="1">
        <v>0</v>
      </c>
      <c r="I83" t="s">
        <v>43</v>
      </c>
      <c r="K83" t="s">
        <v>22</v>
      </c>
      <c r="L83" t="s">
        <v>55</v>
      </c>
      <c r="M83" t="s">
        <v>22</v>
      </c>
      <c r="O83" t="s">
        <v>22</v>
      </c>
      <c r="R83" t="s">
        <v>604</v>
      </c>
      <c r="S83" t="b">
        <f>COUNTIF(D:D,R83)&gt;0</f>
        <v>1</v>
      </c>
    </row>
    <row r="84" spans="1:19" x14ac:dyDescent="0.2">
      <c r="A84" t="s">
        <v>226</v>
      </c>
      <c r="B84" t="s">
        <v>227</v>
      </c>
      <c r="C84" t="s">
        <v>239</v>
      </c>
      <c r="D84" t="s">
        <v>240</v>
      </c>
      <c r="E84" t="b">
        <f>COUNTIF(R:R,D84)&gt;0</f>
        <v>1</v>
      </c>
      <c r="F84" t="str">
        <f t="shared" si="1"/>
        <v>OK</v>
      </c>
      <c r="G84" t="s">
        <v>18</v>
      </c>
      <c r="H84" s="1">
        <v>0.1</v>
      </c>
      <c r="I84" t="s">
        <v>241</v>
      </c>
      <c r="J84" t="s">
        <v>242</v>
      </c>
      <c r="K84" t="s">
        <v>146</v>
      </c>
      <c r="M84" t="s">
        <v>243</v>
      </c>
      <c r="N84" t="s">
        <v>244</v>
      </c>
      <c r="O84" t="s">
        <v>22</v>
      </c>
      <c r="R84" t="s">
        <v>596</v>
      </c>
      <c r="S84" t="b">
        <f>COUNTIF(D:D,R84)&gt;0</f>
        <v>1</v>
      </c>
    </row>
    <row r="85" spans="1:19" x14ac:dyDescent="0.2">
      <c r="A85" t="s">
        <v>226</v>
      </c>
      <c r="B85" t="s">
        <v>227</v>
      </c>
      <c r="C85" t="s">
        <v>245</v>
      </c>
      <c r="D85" t="s">
        <v>246</v>
      </c>
      <c r="E85" t="b">
        <f>COUNTIF(R:R,D85)&gt;0</f>
        <v>1</v>
      </c>
      <c r="F85" t="str">
        <f t="shared" si="1"/>
        <v>OK</v>
      </c>
      <c r="G85" t="s">
        <v>18</v>
      </c>
      <c r="H85" s="1">
        <v>0</v>
      </c>
      <c r="I85" t="s">
        <v>80</v>
      </c>
      <c r="K85" t="s">
        <v>22</v>
      </c>
      <c r="M85" t="s">
        <v>22</v>
      </c>
      <c r="O85" t="s">
        <v>22</v>
      </c>
      <c r="R85" t="s">
        <v>1631</v>
      </c>
      <c r="S85" t="b">
        <f>COUNTIF(D:D,R85)&gt;0</f>
        <v>0</v>
      </c>
    </row>
    <row r="86" spans="1:19" x14ac:dyDescent="0.2">
      <c r="A86" t="s">
        <v>226</v>
      </c>
      <c r="B86" t="s">
        <v>227</v>
      </c>
      <c r="C86" t="s">
        <v>247</v>
      </c>
      <c r="D86" t="s">
        <v>246</v>
      </c>
      <c r="E86" t="b">
        <f>COUNTIF(R:R,D86)&gt;0</f>
        <v>1</v>
      </c>
      <c r="F86" t="str">
        <f t="shared" si="1"/>
        <v>OK</v>
      </c>
      <c r="G86" t="s">
        <v>18</v>
      </c>
      <c r="H86" s="1">
        <v>0</v>
      </c>
      <c r="I86" t="s">
        <v>75</v>
      </c>
      <c r="K86" t="s">
        <v>22</v>
      </c>
      <c r="M86" t="s">
        <v>22</v>
      </c>
      <c r="O86" t="s">
        <v>22</v>
      </c>
      <c r="R86" t="s">
        <v>572</v>
      </c>
      <c r="S86" t="b">
        <f>COUNTIF(D:D,R86)&gt;0</f>
        <v>1</v>
      </c>
    </row>
    <row r="87" spans="1:19" x14ac:dyDescent="0.2">
      <c r="A87" t="s">
        <v>226</v>
      </c>
      <c r="B87" t="s">
        <v>227</v>
      </c>
      <c r="C87" t="s">
        <v>248</v>
      </c>
      <c r="D87" t="s">
        <v>249</v>
      </c>
      <c r="E87" t="b">
        <f>COUNTIF(R:R,D87)&gt;0</f>
        <v>1</v>
      </c>
      <c r="F87" t="str">
        <f t="shared" si="1"/>
        <v>OK</v>
      </c>
      <c r="G87" t="s">
        <v>18</v>
      </c>
      <c r="H87" s="1">
        <v>0.01</v>
      </c>
      <c r="I87" t="s">
        <v>250</v>
      </c>
      <c r="J87" t="s">
        <v>251</v>
      </c>
      <c r="K87" t="s">
        <v>252</v>
      </c>
      <c r="L87" t="s">
        <v>55</v>
      </c>
      <c r="M87" t="s">
        <v>252</v>
      </c>
      <c r="O87" t="s">
        <v>22</v>
      </c>
      <c r="R87" t="s">
        <v>665</v>
      </c>
      <c r="S87" t="b">
        <f>COUNTIF(D:D,R87)&gt;0</f>
        <v>1</v>
      </c>
    </row>
    <row r="88" spans="1:19" x14ac:dyDescent="0.2">
      <c r="A88" t="s">
        <v>226</v>
      </c>
      <c r="B88" t="s">
        <v>227</v>
      </c>
      <c r="C88" t="s">
        <v>248</v>
      </c>
      <c r="D88" t="s">
        <v>249</v>
      </c>
      <c r="E88" t="b">
        <f>COUNTIF(R:R,D88)&gt;0</f>
        <v>1</v>
      </c>
      <c r="F88" t="str">
        <f t="shared" si="1"/>
        <v>OK</v>
      </c>
      <c r="G88" t="s">
        <v>18</v>
      </c>
      <c r="H88" s="1">
        <v>0</v>
      </c>
      <c r="I88" t="s">
        <v>51</v>
      </c>
      <c r="K88" t="s">
        <v>22</v>
      </c>
      <c r="L88" t="s">
        <v>55</v>
      </c>
      <c r="M88" t="s">
        <v>22</v>
      </c>
      <c r="O88" t="s">
        <v>22</v>
      </c>
      <c r="R88" t="s">
        <v>1689</v>
      </c>
      <c r="S88" t="b">
        <f>COUNTIF(D:D,R88)&gt;0</f>
        <v>0</v>
      </c>
    </row>
    <row r="89" spans="1:19" x14ac:dyDescent="0.2">
      <c r="A89" t="s">
        <v>226</v>
      </c>
      <c r="B89" t="s">
        <v>227</v>
      </c>
      <c r="C89" t="s">
        <v>253</v>
      </c>
      <c r="D89" t="s">
        <v>254</v>
      </c>
      <c r="E89" t="b">
        <f>COUNTIF(R:R,D89)&gt;0</f>
        <v>1</v>
      </c>
      <c r="F89" t="str">
        <f t="shared" si="1"/>
        <v>OK</v>
      </c>
      <c r="G89" t="s">
        <v>18</v>
      </c>
      <c r="H89" s="1">
        <v>0.01</v>
      </c>
      <c r="I89" t="s">
        <v>43</v>
      </c>
      <c r="K89" t="s">
        <v>22</v>
      </c>
      <c r="M89" t="s">
        <v>22</v>
      </c>
      <c r="O89" t="s">
        <v>22</v>
      </c>
      <c r="R89" t="s">
        <v>668</v>
      </c>
      <c r="S89" t="b">
        <f>COUNTIF(D:D,R89)&gt;0</f>
        <v>1</v>
      </c>
    </row>
    <row r="90" spans="1:19" x14ac:dyDescent="0.2">
      <c r="A90" t="s">
        <v>226</v>
      </c>
      <c r="B90" t="s">
        <v>227</v>
      </c>
      <c r="C90" t="s">
        <v>255</v>
      </c>
      <c r="D90" t="s">
        <v>256</v>
      </c>
      <c r="E90" t="b">
        <f>COUNTIF(R:R,D90)&gt;0</f>
        <v>1</v>
      </c>
      <c r="F90" t="str">
        <f t="shared" si="1"/>
        <v>OK</v>
      </c>
      <c r="G90" t="s">
        <v>18</v>
      </c>
      <c r="H90" s="1">
        <v>0.01</v>
      </c>
      <c r="I90" t="s">
        <v>257</v>
      </c>
      <c r="K90" t="s">
        <v>22</v>
      </c>
      <c r="M90" t="s">
        <v>22</v>
      </c>
      <c r="O90" t="s">
        <v>22</v>
      </c>
      <c r="R90" t="s">
        <v>1667</v>
      </c>
      <c r="S90" t="b">
        <f>COUNTIF(D:D,R90)&gt;0</f>
        <v>0</v>
      </c>
    </row>
    <row r="91" spans="1:19" x14ac:dyDescent="0.2">
      <c r="A91" t="s">
        <v>226</v>
      </c>
      <c r="B91" t="s">
        <v>227</v>
      </c>
      <c r="C91" t="s">
        <v>258</v>
      </c>
      <c r="D91" t="s">
        <v>256</v>
      </c>
      <c r="E91" t="b">
        <f>COUNTIF(R:R,D91)&gt;0</f>
        <v>1</v>
      </c>
      <c r="F91" t="str">
        <f t="shared" si="1"/>
        <v>OK</v>
      </c>
      <c r="G91" t="s">
        <v>18</v>
      </c>
      <c r="H91" s="1">
        <v>0.01</v>
      </c>
      <c r="I91" t="s">
        <v>259</v>
      </c>
      <c r="K91" t="s">
        <v>22</v>
      </c>
      <c r="M91" t="s">
        <v>22</v>
      </c>
      <c r="O91" t="s">
        <v>22</v>
      </c>
      <c r="R91" t="s">
        <v>576</v>
      </c>
      <c r="S91" t="b">
        <f>COUNTIF(D:D,R91)&gt;0</f>
        <v>1</v>
      </c>
    </row>
    <row r="92" spans="1:19" x14ac:dyDescent="0.2">
      <c r="A92" t="s">
        <v>226</v>
      </c>
      <c r="B92" t="s">
        <v>227</v>
      </c>
      <c r="C92" t="s">
        <v>260</v>
      </c>
      <c r="D92" t="s">
        <v>261</v>
      </c>
      <c r="E92" t="b">
        <f>COUNTIF(R:R,D92)&gt;0</f>
        <v>1</v>
      </c>
      <c r="F92" t="str">
        <f t="shared" si="1"/>
        <v>OK</v>
      </c>
      <c r="G92" t="s">
        <v>30</v>
      </c>
      <c r="H92" s="1">
        <v>0</v>
      </c>
      <c r="I92" t="s">
        <v>91</v>
      </c>
      <c r="K92" t="s">
        <v>22</v>
      </c>
      <c r="L92" t="s">
        <v>55</v>
      </c>
      <c r="M92" t="s">
        <v>22</v>
      </c>
      <c r="O92" t="s">
        <v>236</v>
      </c>
      <c r="R92" t="s">
        <v>616</v>
      </c>
      <c r="S92" t="b">
        <f>COUNTIF(D:D,R92)&gt;0</f>
        <v>1</v>
      </c>
    </row>
    <row r="93" spans="1:19" x14ac:dyDescent="0.2">
      <c r="A93" t="s">
        <v>226</v>
      </c>
      <c r="B93" t="s">
        <v>227</v>
      </c>
      <c r="C93" t="s">
        <v>262</v>
      </c>
      <c r="D93" t="s">
        <v>263</v>
      </c>
      <c r="E93" t="b">
        <f>COUNTIF(R:R,D93)&gt;0</f>
        <v>1</v>
      </c>
      <c r="F93" t="str">
        <f t="shared" si="1"/>
        <v>OK</v>
      </c>
      <c r="G93" t="s">
        <v>30</v>
      </c>
      <c r="H93" s="1">
        <v>0</v>
      </c>
      <c r="I93" t="s">
        <v>230</v>
      </c>
      <c r="K93" t="s">
        <v>22</v>
      </c>
      <c r="M93" t="s">
        <v>22</v>
      </c>
      <c r="O93" t="s">
        <v>236</v>
      </c>
      <c r="R93" t="s">
        <v>609</v>
      </c>
      <c r="S93" t="b">
        <f>COUNTIF(D:D,R93)&gt;0</f>
        <v>1</v>
      </c>
    </row>
    <row r="94" spans="1:19" x14ac:dyDescent="0.2">
      <c r="A94" t="s">
        <v>226</v>
      </c>
      <c r="B94" t="s">
        <v>227</v>
      </c>
      <c r="C94" t="s">
        <v>264</v>
      </c>
      <c r="D94" t="s">
        <v>265</v>
      </c>
      <c r="E94" t="b">
        <f>COUNTIF(R:R,D94)&gt;0</f>
        <v>1</v>
      </c>
      <c r="F94" t="str">
        <f t="shared" si="1"/>
        <v>OK</v>
      </c>
      <c r="G94" t="s">
        <v>30</v>
      </c>
      <c r="H94" s="1">
        <v>0.14000000000000001</v>
      </c>
      <c r="I94" t="s">
        <v>266</v>
      </c>
      <c r="J94" t="s">
        <v>267</v>
      </c>
      <c r="K94" t="s">
        <v>268</v>
      </c>
      <c r="M94" t="s">
        <v>252</v>
      </c>
      <c r="N94" t="s">
        <v>55</v>
      </c>
      <c r="O94" t="s">
        <v>22</v>
      </c>
      <c r="R94" t="s">
        <v>611</v>
      </c>
      <c r="S94" t="b">
        <f>COUNTIF(D:D,R94)&gt;0</f>
        <v>1</v>
      </c>
    </row>
    <row r="95" spans="1:19" x14ac:dyDescent="0.2">
      <c r="A95" t="s">
        <v>226</v>
      </c>
      <c r="B95" t="s">
        <v>227</v>
      </c>
      <c r="C95" t="s">
        <v>264</v>
      </c>
      <c r="D95" t="s">
        <v>265</v>
      </c>
      <c r="E95" t="b">
        <f>COUNTIF(R:R,D95)&gt;0</f>
        <v>1</v>
      </c>
      <c r="F95" t="str">
        <f t="shared" si="1"/>
        <v>OK</v>
      </c>
      <c r="G95" t="s">
        <v>30</v>
      </c>
      <c r="H95" s="1">
        <v>0.35</v>
      </c>
      <c r="I95" t="s">
        <v>156</v>
      </c>
      <c r="J95" t="s">
        <v>269</v>
      </c>
      <c r="K95" t="s">
        <v>270</v>
      </c>
      <c r="M95" t="s">
        <v>271</v>
      </c>
      <c r="N95" t="s">
        <v>272</v>
      </c>
      <c r="O95" t="s">
        <v>22</v>
      </c>
      <c r="R95" t="s">
        <v>598</v>
      </c>
      <c r="S95" t="b">
        <f>COUNTIF(D:D,R95)&gt;0</f>
        <v>1</v>
      </c>
    </row>
    <row r="96" spans="1:19" x14ac:dyDescent="0.2">
      <c r="A96" t="s">
        <v>226</v>
      </c>
      <c r="B96" t="s">
        <v>227</v>
      </c>
      <c r="C96" t="s">
        <v>273</v>
      </c>
      <c r="D96" t="s">
        <v>274</v>
      </c>
      <c r="E96" t="b">
        <f>COUNTIF(R:R,D96)&gt;0</f>
        <v>0</v>
      </c>
      <c r="F96" t="str">
        <f t="shared" si="1"/>
        <v>OK</v>
      </c>
      <c r="G96" t="s">
        <v>30</v>
      </c>
      <c r="H96" s="1">
        <v>0.35</v>
      </c>
      <c r="I96" t="s">
        <v>156</v>
      </c>
      <c r="J96" t="s">
        <v>275</v>
      </c>
      <c r="K96" t="s">
        <v>270</v>
      </c>
      <c r="M96" t="s">
        <v>21</v>
      </c>
      <c r="O96" t="s">
        <v>22</v>
      </c>
      <c r="R96" t="s">
        <v>1646</v>
      </c>
      <c r="S96" t="b">
        <f>COUNTIF(D:D,R96)&gt;0</f>
        <v>0</v>
      </c>
    </row>
    <row r="97" spans="1:19" x14ac:dyDescent="0.2">
      <c r="A97" t="s">
        <v>226</v>
      </c>
      <c r="B97" t="s">
        <v>227</v>
      </c>
      <c r="C97" t="s">
        <v>276</v>
      </c>
      <c r="D97" t="s">
        <v>265</v>
      </c>
      <c r="E97" t="b">
        <f>COUNTIF(R:R,D97)&gt;0</f>
        <v>1</v>
      </c>
      <c r="F97" t="str">
        <f t="shared" si="1"/>
        <v>OK</v>
      </c>
      <c r="G97" t="s">
        <v>30</v>
      </c>
      <c r="H97" s="1">
        <v>0.3</v>
      </c>
      <c r="I97" t="s">
        <v>134</v>
      </c>
      <c r="J97" t="s">
        <v>277</v>
      </c>
      <c r="K97" t="s">
        <v>270</v>
      </c>
      <c r="M97" t="s">
        <v>22</v>
      </c>
      <c r="O97" t="s">
        <v>22</v>
      </c>
      <c r="R97" t="s">
        <v>646</v>
      </c>
      <c r="S97" t="b">
        <f>COUNTIF(D:D,R97)&gt;0</f>
        <v>1</v>
      </c>
    </row>
    <row r="98" spans="1:19" x14ac:dyDescent="0.2">
      <c r="A98" t="s">
        <v>226</v>
      </c>
      <c r="B98" t="s">
        <v>227</v>
      </c>
      <c r="C98" t="s">
        <v>278</v>
      </c>
      <c r="D98" t="s">
        <v>279</v>
      </c>
      <c r="E98" t="b">
        <f>COUNTIF(R:R,D98)&gt;0</f>
        <v>1</v>
      </c>
      <c r="F98" t="str">
        <f t="shared" si="1"/>
        <v>OK</v>
      </c>
      <c r="G98" t="s">
        <v>30</v>
      </c>
      <c r="H98" s="1">
        <v>0.31</v>
      </c>
      <c r="I98" t="s">
        <v>172</v>
      </c>
      <c r="J98" t="s">
        <v>280</v>
      </c>
      <c r="K98" t="s">
        <v>270</v>
      </c>
      <c r="M98" t="s">
        <v>22</v>
      </c>
      <c r="O98" t="s">
        <v>22</v>
      </c>
      <c r="R98" t="s">
        <v>644</v>
      </c>
      <c r="S98" t="b">
        <f>COUNTIF(D:D,R98)&gt;0</f>
        <v>1</v>
      </c>
    </row>
    <row r="99" spans="1:19" x14ac:dyDescent="0.2">
      <c r="A99" t="s">
        <v>226</v>
      </c>
      <c r="B99" t="s">
        <v>227</v>
      </c>
      <c r="C99" t="s">
        <v>281</v>
      </c>
      <c r="D99" t="s">
        <v>279</v>
      </c>
      <c r="E99" t="b">
        <f>COUNTIF(R:R,D99)&gt;0</f>
        <v>1</v>
      </c>
      <c r="F99" t="str">
        <f t="shared" si="1"/>
        <v>OK</v>
      </c>
      <c r="G99" t="s">
        <v>30</v>
      </c>
      <c r="H99" s="1">
        <v>0.35</v>
      </c>
      <c r="I99" t="s">
        <v>156</v>
      </c>
      <c r="J99" t="s">
        <v>275</v>
      </c>
      <c r="K99" t="s">
        <v>270</v>
      </c>
      <c r="M99" t="s">
        <v>271</v>
      </c>
      <c r="N99" t="s">
        <v>272</v>
      </c>
      <c r="O99" t="s">
        <v>22</v>
      </c>
      <c r="R99" t="s">
        <v>637</v>
      </c>
      <c r="S99" t="b">
        <f>COUNTIF(D:D,R99)&gt;0</f>
        <v>1</v>
      </c>
    </row>
    <row r="100" spans="1:19" x14ac:dyDescent="0.2">
      <c r="A100" t="s">
        <v>226</v>
      </c>
      <c r="B100" t="s">
        <v>227</v>
      </c>
      <c r="C100" t="s">
        <v>282</v>
      </c>
      <c r="D100" t="s">
        <v>283</v>
      </c>
      <c r="E100" t="b">
        <f>COUNTIF(R:R,D100)&gt;0</f>
        <v>1</v>
      </c>
      <c r="F100" t="str">
        <f t="shared" si="1"/>
        <v>OK</v>
      </c>
      <c r="G100" t="s">
        <v>30</v>
      </c>
      <c r="H100" s="1">
        <v>0.38</v>
      </c>
      <c r="I100" t="s">
        <v>284</v>
      </c>
      <c r="J100" t="s">
        <v>285</v>
      </c>
      <c r="K100" t="s">
        <v>270</v>
      </c>
      <c r="M100" t="s">
        <v>286</v>
      </c>
      <c r="N100" t="s">
        <v>287</v>
      </c>
      <c r="O100" t="s">
        <v>22</v>
      </c>
      <c r="R100" t="s">
        <v>670</v>
      </c>
      <c r="S100" t="b">
        <f>COUNTIF(D:D,R100)&gt;0</f>
        <v>1</v>
      </c>
    </row>
    <row r="101" spans="1:19" x14ac:dyDescent="0.2">
      <c r="A101" t="s">
        <v>226</v>
      </c>
      <c r="B101" t="s">
        <v>227</v>
      </c>
      <c r="C101" t="s">
        <v>288</v>
      </c>
      <c r="D101" t="s">
        <v>289</v>
      </c>
      <c r="E101" t="b">
        <f>COUNTIF(R:R,D101)&gt;0</f>
        <v>1</v>
      </c>
      <c r="F101" t="str">
        <f t="shared" si="1"/>
        <v>OK</v>
      </c>
      <c r="G101" t="s">
        <v>30</v>
      </c>
      <c r="H101" s="1">
        <v>0.36</v>
      </c>
      <c r="I101" t="s">
        <v>290</v>
      </c>
      <c r="J101" t="s">
        <v>291</v>
      </c>
      <c r="K101" t="s">
        <v>270</v>
      </c>
      <c r="M101" t="s">
        <v>22</v>
      </c>
      <c r="N101" t="s">
        <v>55</v>
      </c>
      <c r="O101" t="s">
        <v>22</v>
      </c>
      <c r="R101" t="s">
        <v>580</v>
      </c>
      <c r="S101" t="b">
        <f>COUNTIF(D:D,R101)&gt;0</f>
        <v>1</v>
      </c>
    </row>
    <row r="102" spans="1:19" x14ac:dyDescent="0.2">
      <c r="A102" t="s">
        <v>226</v>
      </c>
      <c r="B102" t="s">
        <v>227</v>
      </c>
      <c r="C102" t="s">
        <v>292</v>
      </c>
      <c r="D102" t="s">
        <v>293</v>
      </c>
      <c r="E102" t="b">
        <f>COUNTIF(R:R,D102)&gt;0</f>
        <v>1</v>
      </c>
      <c r="F102" t="str">
        <f t="shared" si="1"/>
        <v>OK</v>
      </c>
      <c r="G102" t="s">
        <v>30</v>
      </c>
      <c r="H102" s="1">
        <v>0.39</v>
      </c>
      <c r="I102" t="s">
        <v>294</v>
      </c>
      <c r="J102" t="s">
        <v>275</v>
      </c>
      <c r="K102" t="s">
        <v>270</v>
      </c>
      <c r="M102" t="s">
        <v>286</v>
      </c>
      <c r="N102" t="s">
        <v>271</v>
      </c>
      <c r="O102" t="s">
        <v>22</v>
      </c>
      <c r="R102" t="s">
        <v>1669</v>
      </c>
      <c r="S102" t="b">
        <f>COUNTIF(D:D,R102)&gt;0</f>
        <v>0</v>
      </c>
    </row>
    <row r="103" spans="1:19" x14ac:dyDescent="0.2">
      <c r="A103" t="s">
        <v>226</v>
      </c>
      <c r="B103" t="s">
        <v>227</v>
      </c>
      <c r="C103" t="s">
        <v>295</v>
      </c>
      <c r="D103" t="s">
        <v>296</v>
      </c>
      <c r="E103" t="b">
        <f>COUNTIF(R:R,D103)&gt;0</f>
        <v>1</v>
      </c>
      <c r="F103" t="str">
        <f t="shared" si="1"/>
        <v>OK</v>
      </c>
      <c r="G103" t="s">
        <v>30</v>
      </c>
      <c r="H103" s="1">
        <v>0.36</v>
      </c>
      <c r="I103" t="s">
        <v>297</v>
      </c>
      <c r="J103" t="s">
        <v>298</v>
      </c>
      <c r="K103" t="s">
        <v>270</v>
      </c>
      <c r="M103" t="s">
        <v>299</v>
      </c>
      <c r="N103" t="s">
        <v>271</v>
      </c>
      <c r="O103" t="s">
        <v>22</v>
      </c>
      <c r="R103" t="s">
        <v>613</v>
      </c>
      <c r="S103" t="b">
        <f>COUNTIF(D:D,R103)&gt;0</f>
        <v>1</v>
      </c>
    </row>
    <row r="104" spans="1:19" x14ac:dyDescent="0.2">
      <c r="A104" t="s">
        <v>226</v>
      </c>
      <c r="B104" t="s">
        <v>227</v>
      </c>
      <c r="C104" t="s">
        <v>300</v>
      </c>
      <c r="D104" t="s">
        <v>301</v>
      </c>
      <c r="E104" t="b">
        <f>COUNTIF(R:R,D104)&gt;0</f>
        <v>1</v>
      </c>
      <c r="F104" t="str">
        <f t="shared" si="1"/>
        <v>OK</v>
      </c>
      <c r="G104" t="s">
        <v>18</v>
      </c>
      <c r="H104" s="1">
        <v>0</v>
      </c>
      <c r="I104" t="s">
        <v>302</v>
      </c>
      <c r="J104" t="s">
        <v>303</v>
      </c>
      <c r="K104" t="s">
        <v>252</v>
      </c>
      <c r="M104" t="s">
        <v>252</v>
      </c>
      <c r="O104" t="s">
        <v>22</v>
      </c>
      <c r="R104" t="s">
        <v>649</v>
      </c>
      <c r="S104" t="b">
        <f>COUNTIF(D:D,R104)&gt;0</f>
        <v>1</v>
      </c>
    </row>
    <row r="105" spans="1:19" x14ac:dyDescent="0.2">
      <c r="A105" t="s">
        <v>226</v>
      </c>
      <c r="B105" t="s">
        <v>227</v>
      </c>
      <c r="C105" t="s">
        <v>304</v>
      </c>
      <c r="D105" t="s">
        <v>305</v>
      </c>
      <c r="E105" t="b">
        <f>COUNTIF(R:R,D105)&gt;0</f>
        <v>0</v>
      </c>
      <c r="F105" t="str">
        <f t="shared" si="1"/>
        <v>OK</v>
      </c>
      <c r="G105" t="s">
        <v>18</v>
      </c>
      <c r="H105" s="1">
        <v>0.05</v>
      </c>
      <c r="I105" t="s">
        <v>217</v>
      </c>
      <c r="J105" t="s">
        <v>306</v>
      </c>
      <c r="K105" t="s">
        <v>22</v>
      </c>
      <c r="M105" t="s">
        <v>22</v>
      </c>
      <c r="O105" t="s">
        <v>22</v>
      </c>
      <c r="R105" t="s">
        <v>633</v>
      </c>
      <c r="S105" t="b">
        <f>COUNTIF(D:D,R105)&gt;0</f>
        <v>1</v>
      </c>
    </row>
    <row r="106" spans="1:19" x14ac:dyDescent="0.2">
      <c r="A106" t="s">
        <v>226</v>
      </c>
      <c r="B106" t="s">
        <v>227</v>
      </c>
      <c r="C106" t="s">
        <v>307</v>
      </c>
      <c r="D106" t="s">
        <v>1691</v>
      </c>
      <c r="E106" t="b">
        <f>COUNTIF(R:R,D106)&gt;0</f>
        <v>1</v>
      </c>
      <c r="F106" t="str">
        <f t="shared" si="1"/>
        <v>OK</v>
      </c>
      <c r="G106" t="s">
        <v>18</v>
      </c>
      <c r="H106" s="1">
        <v>0</v>
      </c>
      <c r="I106" t="s">
        <v>75</v>
      </c>
      <c r="J106" t="s">
        <v>55</v>
      </c>
      <c r="K106" t="s">
        <v>22</v>
      </c>
      <c r="M106" t="s">
        <v>22</v>
      </c>
      <c r="O106" t="s">
        <v>22</v>
      </c>
      <c r="R106" t="s">
        <v>1635</v>
      </c>
      <c r="S106" t="b">
        <f>COUNTIF(D:D,R106)&gt;0</f>
        <v>0</v>
      </c>
    </row>
    <row r="107" spans="1:19" x14ac:dyDescent="0.2">
      <c r="A107" t="s">
        <v>226</v>
      </c>
      <c r="B107" t="s">
        <v>227</v>
      </c>
      <c r="C107" t="s">
        <v>308</v>
      </c>
      <c r="D107" t="s">
        <v>1692</v>
      </c>
      <c r="E107" t="b">
        <f>COUNTIF(R:R,D107)&gt;0</f>
        <v>1</v>
      </c>
      <c r="F107" t="str">
        <f t="shared" si="1"/>
        <v>OK</v>
      </c>
      <c r="G107" t="s">
        <v>30</v>
      </c>
      <c r="H107" s="1">
        <v>0.01</v>
      </c>
      <c r="I107" t="s">
        <v>309</v>
      </c>
      <c r="J107" t="s">
        <v>266</v>
      </c>
      <c r="K107" t="s">
        <v>22</v>
      </c>
      <c r="M107" t="s">
        <v>22</v>
      </c>
      <c r="O107" t="s">
        <v>22</v>
      </c>
      <c r="R107" t="s">
        <v>582</v>
      </c>
      <c r="S107" t="b">
        <f>COUNTIF(D:D,R107)&gt;0</f>
        <v>1</v>
      </c>
    </row>
    <row r="108" spans="1:19" x14ac:dyDescent="0.2">
      <c r="A108" t="s">
        <v>226</v>
      </c>
      <c r="B108" t="s">
        <v>227</v>
      </c>
      <c r="C108" t="s">
        <v>310</v>
      </c>
      <c r="D108" t="s">
        <v>311</v>
      </c>
      <c r="E108" t="b">
        <f>COUNTIF(R:R,D108)&gt;0</f>
        <v>1</v>
      </c>
      <c r="F108" t="str">
        <f t="shared" si="1"/>
        <v>OK</v>
      </c>
      <c r="G108" t="s">
        <v>18</v>
      </c>
      <c r="H108" s="1">
        <v>0</v>
      </c>
      <c r="I108" t="s">
        <v>312</v>
      </c>
      <c r="J108" t="s">
        <v>313</v>
      </c>
      <c r="K108" t="s">
        <v>21</v>
      </c>
      <c r="M108" t="s">
        <v>22</v>
      </c>
      <c r="O108" t="s">
        <v>22</v>
      </c>
      <c r="P108" t="s">
        <v>55</v>
      </c>
      <c r="R108" t="s">
        <v>591</v>
      </c>
      <c r="S108" t="b">
        <f>COUNTIF(D:D,R108)&gt;0</f>
        <v>1</v>
      </c>
    </row>
    <row r="109" spans="1:19" x14ac:dyDescent="0.2">
      <c r="A109" t="s">
        <v>226</v>
      </c>
      <c r="B109" t="s">
        <v>227</v>
      </c>
      <c r="C109" t="s">
        <v>314</v>
      </c>
      <c r="D109" t="s">
        <v>311</v>
      </c>
      <c r="E109" t="b">
        <f>COUNTIF(R:R,D109)&gt;0</f>
        <v>1</v>
      </c>
      <c r="F109" t="str">
        <f t="shared" si="1"/>
        <v>OK</v>
      </c>
      <c r="G109" t="s">
        <v>18</v>
      </c>
      <c r="H109" s="1">
        <v>0</v>
      </c>
      <c r="I109" t="s">
        <v>312</v>
      </c>
      <c r="J109" t="s">
        <v>313</v>
      </c>
      <c r="K109" t="s">
        <v>21</v>
      </c>
      <c r="M109" t="s">
        <v>22</v>
      </c>
      <c r="O109" t="s">
        <v>22</v>
      </c>
      <c r="R109" t="s">
        <v>601</v>
      </c>
      <c r="S109" t="b">
        <f>COUNTIF(D:D,R109)&gt;0</f>
        <v>1</v>
      </c>
    </row>
    <row r="110" spans="1:19" x14ac:dyDescent="0.2">
      <c r="A110" t="s">
        <v>226</v>
      </c>
      <c r="B110" t="s">
        <v>227</v>
      </c>
      <c r="C110" t="s">
        <v>315</v>
      </c>
      <c r="D110" t="s">
        <v>311</v>
      </c>
      <c r="E110" t="b">
        <f>COUNTIF(R:R,D110)&gt;0</f>
        <v>1</v>
      </c>
      <c r="F110" t="str">
        <f t="shared" si="1"/>
        <v>OK</v>
      </c>
      <c r="G110" t="s">
        <v>18</v>
      </c>
      <c r="H110" s="1">
        <v>0</v>
      </c>
      <c r="I110" t="s">
        <v>192</v>
      </c>
      <c r="J110" t="s">
        <v>316</v>
      </c>
      <c r="K110" t="s">
        <v>317</v>
      </c>
      <c r="M110" t="s">
        <v>252</v>
      </c>
      <c r="O110" t="s">
        <v>22</v>
      </c>
      <c r="P110" t="s">
        <v>318</v>
      </c>
      <c r="R110" t="s">
        <v>626</v>
      </c>
      <c r="S110" t="b">
        <f>COUNTIF(D:D,R110)&gt;0</f>
        <v>1</v>
      </c>
    </row>
    <row r="111" spans="1:19" x14ac:dyDescent="0.2">
      <c r="A111" t="s">
        <v>226</v>
      </c>
      <c r="B111" t="s">
        <v>227</v>
      </c>
      <c r="C111" t="s">
        <v>319</v>
      </c>
      <c r="D111" t="s">
        <v>311</v>
      </c>
      <c r="E111" t="b">
        <f>COUNTIF(R:R,D111)&gt;0</f>
        <v>1</v>
      </c>
      <c r="F111" t="str">
        <f t="shared" si="1"/>
        <v>OK</v>
      </c>
      <c r="G111" t="s">
        <v>18</v>
      </c>
      <c r="H111" s="1">
        <v>0</v>
      </c>
      <c r="I111" t="s">
        <v>312</v>
      </c>
      <c r="J111" t="s">
        <v>313</v>
      </c>
      <c r="K111" t="s">
        <v>21</v>
      </c>
      <c r="M111" t="s">
        <v>22</v>
      </c>
      <c r="O111" t="s">
        <v>22</v>
      </c>
      <c r="P111" t="s">
        <v>320</v>
      </c>
      <c r="R111" t="s">
        <v>363</v>
      </c>
      <c r="S111" t="b">
        <f>COUNTIF(D:D,R111)&gt;0</f>
        <v>1</v>
      </c>
    </row>
    <row r="112" spans="1:19" x14ac:dyDescent="0.2">
      <c r="A112" t="s">
        <v>226</v>
      </c>
      <c r="B112" t="s">
        <v>227</v>
      </c>
      <c r="C112" t="s">
        <v>321</v>
      </c>
      <c r="D112" t="s">
        <v>311</v>
      </c>
      <c r="E112" t="b">
        <f>COUNTIF(R:R,D112)&gt;0</f>
        <v>1</v>
      </c>
      <c r="F112" t="str">
        <f t="shared" si="1"/>
        <v>OK</v>
      </c>
      <c r="G112" t="s">
        <v>30</v>
      </c>
      <c r="H112" s="1">
        <v>0.06</v>
      </c>
      <c r="I112" t="s">
        <v>266</v>
      </c>
      <c r="J112" t="s">
        <v>322</v>
      </c>
      <c r="K112" t="s">
        <v>317</v>
      </c>
      <c r="M112" t="s">
        <v>21</v>
      </c>
      <c r="N112" t="s">
        <v>55</v>
      </c>
      <c r="O112" t="s">
        <v>236</v>
      </c>
      <c r="P112" t="s">
        <v>55</v>
      </c>
      <c r="R112" t="s">
        <v>369</v>
      </c>
      <c r="S112" t="b">
        <f>COUNTIF(D:D,R112)&gt;0</f>
        <v>1</v>
      </c>
    </row>
    <row r="113" spans="1:19" x14ac:dyDescent="0.2">
      <c r="A113" t="s">
        <v>226</v>
      </c>
      <c r="B113" t="s">
        <v>323</v>
      </c>
      <c r="C113" t="s">
        <v>324</v>
      </c>
      <c r="D113" t="s">
        <v>325</v>
      </c>
      <c r="E113" t="b">
        <f>COUNTIF(R:R,D113)&gt;0</f>
        <v>1</v>
      </c>
      <c r="F113" t="str">
        <f t="shared" si="1"/>
        <v>OK</v>
      </c>
      <c r="G113" t="s">
        <v>18</v>
      </c>
      <c r="H113" s="1">
        <v>0</v>
      </c>
      <c r="I113" t="s">
        <v>192</v>
      </c>
      <c r="J113" t="s">
        <v>326</v>
      </c>
      <c r="K113" t="s">
        <v>252</v>
      </c>
      <c r="M113" t="s">
        <v>252</v>
      </c>
      <c r="O113" t="s">
        <v>22</v>
      </c>
      <c r="R113" t="s">
        <v>1660</v>
      </c>
      <c r="S113" t="b">
        <f>COUNTIF(D:D,R113)&gt;0</f>
        <v>0</v>
      </c>
    </row>
    <row r="114" spans="1:19" x14ac:dyDescent="0.2">
      <c r="A114" t="s">
        <v>327</v>
      </c>
      <c r="B114" t="s">
        <v>328</v>
      </c>
      <c r="C114" t="s">
        <v>329</v>
      </c>
      <c r="D114" t="s">
        <v>330</v>
      </c>
      <c r="E114" t="b">
        <f>COUNTIF(R:R,D114)&gt;0</f>
        <v>1</v>
      </c>
      <c r="F114" t="str">
        <f t="shared" si="1"/>
        <v>OK</v>
      </c>
      <c r="G114" t="s">
        <v>18</v>
      </c>
      <c r="H114" s="1">
        <v>0.01</v>
      </c>
      <c r="I114" t="s">
        <v>259</v>
      </c>
      <c r="J114" t="s">
        <v>55</v>
      </c>
      <c r="K114" t="s">
        <v>21</v>
      </c>
      <c r="M114" t="s">
        <v>22</v>
      </c>
      <c r="O114" t="s">
        <v>22</v>
      </c>
      <c r="R114" t="s">
        <v>374</v>
      </c>
      <c r="S114" t="b">
        <f>COUNTIF(D:D,R114)&gt;0</f>
        <v>1</v>
      </c>
    </row>
    <row r="115" spans="1:19" x14ac:dyDescent="0.2">
      <c r="A115" t="s">
        <v>327</v>
      </c>
      <c r="B115" t="s">
        <v>328</v>
      </c>
      <c r="C115" t="s">
        <v>331</v>
      </c>
      <c r="D115" t="s">
        <v>332</v>
      </c>
      <c r="E115" t="b">
        <f>COUNTIF(R:R,D115)&gt;0</f>
        <v>1</v>
      </c>
      <c r="F115" t="str">
        <f t="shared" si="1"/>
        <v>OK</v>
      </c>
      <c r="G115" t="s">
        <v>18</v>
      </c>
      <c r="H115" s="1">
        <v>0.01</v>
      </c>
      <c r="I115" t="s">
        <v>259</v>
      </c>
      <c r="J115" t="s">
        <v>55</v>
      </c>
      <c r="K115" t="s">
        <v>21</v>
      </c>
      <c r="M115" t="s">
        <v>22</v>
      </c>
      <c r="O115" t="s">
        <v>22</v>
      </c>
      <c r="R115" t="s">
        <v>378</v>
      </c>
      <c r="S115" t="b">
        <f>COUNTIF(D:D,R115)&gt;0</f>
        <v>1</v>
      </c>
    </row>
    <row r="116" spans="1:19" x14ac:dyDescent="0.2">
      <c r="A116" t="s">
        <v>327</v>
      </c>
      <c r="B116" t="s">
        <v>328</v>
      </c>
      <c r="C116" t="s">
        <v>333</v>
      </c>
      <c r="D116" t="s">
        <v>334</v>
      </c>
      <c r="E116" t="b">
        <f>COUNTIF(R:R,D116)&gt;0</f>
        <v>0</v>
      </c>
      <c r="F116" t="str">
        <f t="shared" si="1"/>
        <v>OK</v>
      </c>
      <c r="G116" t="s">
        <v>18</v>
      </c>
      <c r="H116" s="1">
        <v>0.01</v>
      </c>
      <c r="I116" t="s">
        <v>259</v>
      </c>
      <c r="J116" t="s">
        <v>55</v>
      </c>
      <c r="K116" t="s">
        <v>21</v>
      </c>
      <c r="M116" t="s">
        <v>22</v>
      </c>
      <c r="O116" t="s">
        <v>22</v>
      </c>
      <c r="R116" t="s">
        <v>381</v>
      </c>
      <c r="S116" t="b">
        <f>COUNTIF(D:D,R116)&gt;0</f>
        <v>1</v>
      </c>
    </row>
    <row r="117" spans="1:19" x14ac:dyDescent="0.2">
      <c r="A117" t="s">
        <v>327</v>
      </c>
      <c r="B117" t="s">
        <v>328</v>
      </c>
      <c r="C117" t="s">
        <v>335</v>
      </c>
      <c r="D117" t="s">
        <v>336</v>
      </c>
      <c r="E117" t="b">
        <f>COUNTIF(R:R,D117)&gt;0</f>
        <v>0</v>
      </c>
      <c r="F117" t="str">
        <f t="shared" si="1"/>
        <v>OK</v>
      </c>
      <c r="G117" t="s">
        <v>18</v>
      </c>
      <c r="H117" s="1">
        <v>0.01</v>
      </c>
      <c r="I117" t="s">
        <v>259</v>
      </c>
      <c r="J117" t="s">
        <v>55</v>
      </c>
      <c r="K117" t="s">
        <v>21</v>
      </c>
      <c r="M117" t="s">
        <v>22</v>
      </c>
      <c r="O117" t="s">
        <v>22</v>
      </c>
      <c r="R117" t="s">
        <v>384</v>
      </c>
      <c r="S117" t="b">
        <f>COUNTIF(D:D,R117)&gt;0</f>
        <v>1</v>
      </c>
    </row>
    <row r="118" spans="1:19" x14ac:dyDescent="0.2">
      <c r="A118" t="s">
        <v>327</v>
      </c>
      <c r="B118" t="s">
        <v>328</v>
      </c>
      <c r="C118" t="s">
        <v>337</v>
      </c>
      <c r="D118" t="s">
        <v>338</v>
      </c>
      <c r="E118" t="b">
        <f>COUNTIF(R:R,D118)&gt;0</f>
        <v>1</v>
      </c>
      <c r="F118" t="str">
        <f t="shared" si="1"/>
        <v>OK</v>
      </c>
      <c r="G118" t="s">
        <v>30</v>
      </c>
      <c r="H118" s="1">
        <v>0.01</v>
      </c>
      <c r="I118" t="s">
        <v>168</v>
      </c>
      <c r="J118" t="s">
        <v>55</v>
      </c>
      <c r="K118" t="s">
        <v>21</v>
      </c>
      <c r="M118" t="s">
        <v>22</v>
      </c>
      <c r="O118" t="s">
        <v>22</v>
      </c>
      <c r="R118" t="s">
        <v>1709</v>
      </c>
      <c r="S118" t="b">
        <f>COUNTIF(D:D,R118)&gt;0</f>
        <v>0</v>
      </c>
    </row>
    <row r="119" spans="1:19" x14ac:dyDescent="0.2">
      <c r="A119" t="s">
        <v>339</v>
      </c>
      <c r="B119" t="s">
        <v>340</v>
      </c>
      <c r="C119" t="s">
        <v>341</v>
      </c>
      <c r="D119" t="s">
        <v>342</v>
      </c>
      <c r="E119" t="b">
        <f>COUNTIF(R:R,D119)&gt;0</f>
        <v>0</v>
      </c>
      <c r="F119" t="str">
        <f t="shared" si="1"/>
        <v>OK</v>
      </c>
      <c r="G119" t="s">
        <v>18</v>
      </c>
      <c r="H119" t="s">
        <v>343</v>
      </c>
      <c r="I119" t="s">
        <v>343</v>
      </c>
      <c r="K119" t="s">
        <v>344</v>
      </c>
      <c r="M119" t="s">
        <v>22</v>
      </c>
      <c r="O119" t="s">
        <v>21</v>
      </c>
      <c r="R119" t="s">
        <v>1715</v>
      </c>
      <c r="S119" t="b">
        <f>COUNTIF(D:D,R119)&gt;0</f>
        <v>0</v>
      </c>
    </row>
    <row r="120" spans="1:19" x14ac:dyDescent="0.2">
      <c r="A120" t="s">
        <v>339</v>
      </c>
      <c r="B120" t="s">
        <v>340</v>
      </c>
      <c r="C120" t="s">
        <v>345</v>
      </c>
      <c r="D120" t="s">
        <v>342</v>
      </c>
      <c r="E120" t="b">
        <f>COUNTIF(R:R,D120)&gt;0</f>
        <v>0</v>
      </c>
      <c r="F120" t="str">
        <f t="shared" si="1"/>
        <v>OK</v>
      </c>
      <c r="G120" t="s">
        <v>18</v>
      </c>
      <c r="H120" t="s">
        <v>343</v>
      </c>
      <c r="I120" t="s">
        <v>343</v>
      </c>
      <c r="K120" t="s">
        <v>344</v>
      </c>
      <c r="M120" t="s">
        <v>22</v>
      </c>
      <c r="O120" t="s">
        <v>21</v>
      </c>
      <c r="R120" t="s">
        <v>1703</v>
      </c>
      <c r="S120" t="b">
        <f>COUNTIF(D:D,R120)&gt;0</f>
        <v>0</v>
      </c>
    </row>
    <row r="121" spans="1:19" x14ac:dyDescent="0.2">
      <c r="A121" t="s">
        <v>339</v>
      </c>
      <c r="B121" t="s">
        <v>340</v>
      </c>
      <c r="C121" t="s">
        <v>346</v>
      </c>
      <c r="D121" t="s">
        <v>342</v>
      </c>
      <c r="E121" t="b">
        <f>COUNTIF(R:R,D121)&gt;0</f>
        <v>0</v>
      </c>
      <c r="F121" t="str">
        <f t="shared" si="1"/>
        <v>OK</v>
      </c>
      <c r="G121" t="s">
        <v>18</v>
      </c>
      <c r="H121" t="s">
        <v>343</v>
      </c>
      <c r="I121" t="s">
        <v>343</v>
      </c>
      <c r="K121" t="s">
        <v>344</v>
      </c>
      <c r="M121" t="s">
        <v>22</v>
      </c>
      <c r="O121" t="s">
        <v>21</v>
      </c>
      <c r="R121" t="s">
        <v>1706</v>
      </c>
      <c r="S121" t="b">
        <f>COUNTIF(D:D,R121)&gt;0</f>
        <v>0</v>
      </c>
    </row>
    <row r="122" spans="1:19" x14ac:dyDescent="0.2">
      <c r="A122" t="s">
        <v>347</v>
      </c>
      <c r="B122" t="s">
        <v>348</v>
      </c>
      <c r="C122" t="s">
        <v>349</v>
      </c>
      <c r="D122" t="s">
        <v>350</v>
      </c>
      <c r="E122" t="b">
        <f>COUNTIF(R:R,D122)&gt;0</f>
        <v>0</v>
      </c>
      <c r="F122" t="str">
        <f t="shared" si="1"/>
        <v>OK</v>
      </c>
      <c r="G122" t="s">
        <v>18</v>
      </c>
      <c r="H122" s="1">
        <v>0</v>
      </c>
      <c r="I122" t="s">
        <v>351</v>
      </c>
      <c r="K122" t="s">
        <v>352</v>
      </c>
      <c r="M122" t="s">
        <v>353</v>
      </c>
      <c r="O122" t="s">
        <v>353</v>
      </c>
      <c r="R122" t="s">
        <v>1697</v>
      </c>
      <c r="S122" t="b">
        <f>COUNTIF(D:D,R122)&gt;0</f>
        <v>0</v>
      </c>
    </row>
    <row r="123" spans="1:19" x14ac:dyDescent="0.2">
      <c r="A123" t="s">
        <v>347</v>
      </c>
      <c r="B123" t="s">
        <v>348</v>
      </c>
      <c r="C123" t="s">
        <v>354</v>
      </c>
      <c r="D123" t="s">
        <v>355</v>
      </c>
      <c r="E123" t="b">
        <f>COUNTIF(R:R,D123)&gt;0</f>
        <v>1</v>
      </c>
      <c r="F123" t="str">
        <f t="shared" si="1"/>
        <v>OK</v>
      </c>
      <c r="G123" t="s">
        <v>18</v>
      </c>
      <c r="H123" s="1">
        <v>0</v>
      </c>
      <c r="I123" t="s">
        <v>356</v>
      </c>
      <c r="K123" t="s">
        <v>357</v>
      </c>
      <c r="M123" t="s">
        <v>353</v>
      </c>
      <c r="O123" t="s">
        <v>22</v>
      </c>
      <c r="R123" t="s">
        <v>1708</v>
      </c>
      <c r="S123" t="b">
        <f>COUNTIF(D:D,R123)&gt;0</f>
        <v>0</v>
      </c>
    </row>
    <row r="124" spans="1:19" x14ac:dyDescent="0.2">
      <c r="A124" t="s">
        <v>347</v>
      </c>
      <c r="B124" t="s">
        <v>348</v>
      </c>
      <c r="C124" t="s">
        <v>358</v>
      </c>
      <c r="D124" t="s">
        <v>359</v>
      </c>
      <c r="E124" t="b">
        <f>COUNTIF(R:R,D124)&gt;0</f>
        <v>1</v>
      </c>
      <c r="F124" t="str">
        <f t="shared" si="1"/>
        <v>OK</v>
      </c>
      <c r="G124" t="s">
        <v>30</v>
      </c>
      <c r="H124" s="1">
        <v>0</v>
      </c>
      <c r="I124" t="s">
        <v>360</v>
      </c>
      <c r="J124" t="s">
        <v>361</v>
      </c>
      <c r="K124" t="s">
        <v>357</v>
      </c>
      <c r="M124" t="s">
        <v>353</v>
      </c>
      <c r="O124" t="s">
        <v>22</v>
      </c>
      <c r="R124" t="s">
        <v>1700</v>
      </c>
      <c r="S124" t="b">
        <f>COUNTIF(D:D,R124)&gt;0</f>
        <v>0</v>
      </c>
    </row>
    <row r="125" spans="1:19" x14ac:dyDescent="0.2">
      <c r="A125" t="s">
        <v>347</v>
      </c>
      <c r="B125" t="s">
        <v>362</v>
      </c>
      <c r="C125">
        <v>300</v>
      </c>
      <c r="D125" t="s">
        <v>363</v>
      </c>
      <c r="E125" t="b">
        <f>COUNTIF(R:R,D125)&gt;0</f>
        <v>1</v>
      </c>
      <c r="F125" t="str">
        <f t="shared" si="1"/>
        <v>OK</v>
      </c>
      <c r="G125" t="s">
        <v>18</v>
      </c>
      <c r="H125" s="1">
        <v>0.68</v>
      </c>
      <c r="I125" t="s">
        <v>364</v>
      </c>
      <c r="K125" t="s">
        <v>365</v>
      </c>
      <c r="L125" t="s">
        <v>366</v>
      </c>
      <c r="M125" t="s">
        <v>367</v>
      </c>
      <c r="O125" t="s">
        <v>270</v>
      </c>
      <c r="R125" t="s">
        <v>1710</v>
      </c>
      <c r="S125" t="b">
        <f>COUNTIF(D:D,R125)&gt;0</f>
        <v>0</v>
      </c>
    </row>
    <row r="126" spans="1:19" x14ac:dyDescent="0.2">
      <c r="A126" t="s">
        <v>347</v>
      </c>
      <c r="B126" t="s">
        <v>362</v>
      </c>
      <c r="C126" t="s">
        <v>368</v>
      </c>
      <c r="D126" t="s">
        <v>369</v>
      </c>
      <c r="E126" t="b">
        <f>COUNTIF(R:R,D126)&gt;0</f>
        <v>1</v>
      </c>
      <c r="F126" t="str">
        <f t="shared" si="1"/>
        <v>OK</v>
      </c>
      <c r="G126" t="s">
        <v>30</v>
      </c>
      <c r="H126" s="1">
        <v>0.69</v>
      </c>
      <c r="I126" t="s">
        <v>370</v>
      </c>
      <c r="K126" t="s">
        <v>371</v>
      </c>
      <c r="M126" t="s">
        <v>372</v>
      </c>
      <c r="O126" t="s">
        <v>270</v>
      </c>
      <c r="R126" t="s">
        <v>1704</v>
      </c>
      <c r="S126" t="b">
        <f>COUNTIF(D:D,R126)&gt;0</f>
        <v>0</v>
      </c>
    </row>
    <row r="127" spans="1:19" x14ac:dyDescent="0.2">
      <c r="A127" t="s">
        <v>347</v>
      </c>
      <c r="B127" t="s">
        <v>362</v>
      </c>
      <c r="C127" t="s">
        <v>373</v>
      </c>
      <c r="D127" t="s">
        <v>374</v>
      </c>
      <c r="E127" t="b">
        <f>COUNTIF(R:R,D127)&gt;0</f>
        <v>1</v>
      </c>
      <c r="F127" t="str">
        <f t="shared" si="1"/>
        <v>OK</v>
      </c>
      <c r="G127" t="s">
        <v>30</v>
      </c>
      <c r="H127" s="1">
        <v>0.68</v>
      </c>
      <c r="I127" t="s">
        <v>375</v>
      </c>
      <c r="K127" t="s">
        <v>371</v>
      </c>
      <c r="M127" t="s">
        <v>146</v>
      </c>
      <c r="O127" t="s">
        <v>270</v>
      </c>
      <c r="R127" t="s">
        <v>401</v>
      </c>
      <c r="S127" t="b">
        <f>COUNTIF(D:D,R127)&gt;0</f>
        <v>1</v>
      </c>
    </row>
    <row r="128" spans="1:19" x14ac:dyDescent="0.2">
      <c r="A128" t="s">
        <v>347</v>
      </c>
      <c r="B128" t="s">
        <v>376</v>
      </c>
      <c r="C128" t="s">
        <v>377</v>
      </c>
      <c r="D128" t="s">
        <v>378</v>
      </c>
      <c r="E128" t="b">
        <f>COUNTIF(R:R,D128)&gt;0</f>
        <v>1</v>
      </c>
      <c r="F128" t="str">
        <f t="shared" si="1"/>
        <v>OK</v>
      </c>
      <c r="G128" t="s">
        <v>18</v>
      </c>
      <c r="H128" s="1">
        <v>0.67</v>
      </c>
      <c r="I128" t="s">
        <v>370</v>
      </c>
      <c r="K128" t="s">
        <v>365</v>
      </c>
      <c r="L128" t="s">
        <v>366</v>
      </c>
      <c r="M128" t="s">
        <v>367</v>
      </c>
      <c r="N128" t="s">
        <v>270</v>
      </c>
      <c r="O128" t="s">
        <v>379</v>
      </c>
      <c r="R128" t="s">
        <v>481</v>
      </c>
      <c r="S128" t="b">
        <f>COUNTIF(D:D,R128)&gt;0</f>
        <v>1</v>
      </c>
    </row>
    <row r="129" spans="1:19" x14ac:dyDescent="0.2">
      <c r="A129" t="s">
        <v>347</v>
      </c>
      <c r="B129" t="s">
        <v>376</v>
      </c>
      <c r="C129" t="s">
        <v>380</v>
      </c>
      <c r="D129" t="s">
        <v>381</v>
      </c>
      <c r="E129" t="b">
        <f>COUNTIF(R:R,D129)&gt;0</f>
        <v>1</v>
      </c>
      <c r="F129" t="str">
        <f t="shared" si="1"/>
        <v>OK</v>
      </c>
      <c r="G129" t="s">
        <v>18</v>
      </c>
      <c r="H129" s="1">
        <v>0.71</v>
      </c>
      <c r="I129" t="s">
        <v>242</v>
      </c>
      <c r="K129" t="s">
        <v>365</v>
      </c>
      <c r="L129" t="s">
        <v>366</v>
      </c>
      <c r="M129" t="s">
        <v>367</v>
      </c>
      <c r="N129" t="s">
        <v>270</v>
      </c>
      <c r="O129" t="s">
        <v>382</v>
      </c>
      <c r="R129" t="s">
        <v>485</v>
      </c>
      <c r="S129" t="b">
        <f>COUNTIF(D:D,R129)&gt;0</f>
        <v>1</v>
      </c>
    </row>
    <row r="130" spans="1:19" x14ac:dyDescent="0.2">
      <c r="A130" t="s">
        <v>347</v>
      </c>
      <c r="B130" t="s">
        <v>376</v>
      </c>
      <c r="C130" t="s">
        <v>383</v>
      </c>
      <c r="D130" t="s">
        <v>384</v>
      </c>
      <c r="E130" t="b">
        <f>COUNTIF(R:R,D130)&gt;0</f>
        <v>1</v>
      </c>
      <c r="F130" t="str">
        <f t="shared" si="1"/>
        <v>OK</v>
      </c>
      <c r="G130" t="s">
        <v>30</v>
      </c>
      <c r="H130" s="1">
        <v>0.71</v>
      </c>
      <c r="I130" t="s">
        <v>364</v>
      </c>
      <c r="K130" t="s">
        <v>385</v>
      </c>
      <c r="L130" t="s">
        <v>366</v>
      </c>
      <c r="M130" t="s">
        <v>367</v>
      </c>
      <c r="N130" t="s">
        <v>270</v>
      </c>
      <c r="O130" t="s">
        <v>386</v>
      </c>
      <c r="R130" t="s">
        <v>491</v>
      </c>
      <c r="S130" t="b">
        <f>COUNTIF(D:D,R130)&gt;0</f>
        <v>1</v>
      </c>
    </row>
    <row r="131" spans="1:19" x14ac:dyDescent="0.2">
      <c r="A131" t="s">
        <v>347</v>
      </c>
      <c r="B131" t="s">
        <v>376</v>
      </c>
      <c r="C131" t="s">
        <v>387</v>
      </c>
      <c r="D131" t="s">
        <v>388</v>
      </c>
      <c r="E131" t="b">
        <f>COUNTIF(R:R,D131)&gt;0</f>
        <v>0</v>
      </c>
      <c r="F131" t="str">
        <f t="shared" ref="F131:F194" si="2">IF(COUNTIF(C131,"*hybrid*")&gt;0,
     IF(COUNTIF(D131,"*hybrid*")&gt;0,"OK","Mismatch"),
     "OK")</f>
        <v>OK</v>
      </c>
      <c r="G131" t="s">
        <v>30</v>
      </c>
      <c r="H131" s="1">
        <v>0.74</v>
      </c>
      <c r="I131" t="s">
        <v>389</v>
      </c>
      <c r="K131" t="s">
        <v>371</v>
      </c>
      <c r="M131" t="s">
        <v>270</v>
      </c>
      <c r="O131" t="s">
        <v>270</v>
      </c>
      <c r="R131" t="s">
        <v>496</v>
      </c>
      <c r="S131" t="b">
        <f>COUNTIF(D:D,R131)&gt;0</f>
        <v>1</v>
      </c>
    </row>
    <row r="132" spans="1:19" x14ac:dyDescent="0.2">
      <c r="A132" t="s">
        <v>347</v>
      </c>
      <c r="B132" t="s">
        <v>376</v>
      </c>
      <c r="C132" t="s">
        <v>390</v>
      </c>
      <c r="D132" t="s">
        <v>391</v>
      </c>
      <c r="E132" t="b">
        <f>COUNTIF(R:R,D132)&gt;0</f>
        <v>0</v>
      </c>
      <c r="F132" t="str">
        <f t="shared" si="2"/>
        <v>OK</v>
      </c>
      <c r="G132" t="s">
        <v>30</v>
      </c>
      <c r="H132" s="1">
        <v>0.25</v>
      </c>
      <c r="I132" t="s">
        <v>392</v>
      </c>
      <c r="K132" t="s">
        <v>393</v>
      </c>
      <c r="M132" t="s">
        <v>270</v>
      </c>
      <c r="O132" t="s">
        <v>270</v>
      </c>
      <c r="R132" t="s">
        <v>501</v>
      </c>
      <c r="S132" t="b">
        <f>COUNTIF(D:D,R132)&gt;0</f>
        <v>1</v>
      </c>
    </row>
    <row r="133" spans="1:19" x14ac:dyDescent="0.2">
      <c r="A133" t="s">
        <v>347</v>
      </c>
      <c r="B133" t="s">
        <v>394</v>
      </c>
      <c r="C133" t="s">
        <v>395</v>
      </c>
      <c r="D133" t="s">
        <v>396</v>
      </c>
      <c r="E133" t="b">
        <f>COUNTIF(R:R,D133)&gt;0</f>
        <v>0</v>
      </c>
      <c r="F133" t="str">
        <f t="shared" si="2"/>
        <v>OK</v>
      </c>
      <c r="G133" t="s">
        <v>30</v>
      </c>
      <c r="H133" s="1">
        <v>0</v>
      </c>
      <c r="I133" t="s">
        <v>397</v>
      </c>
      <c r="J133" t="s">
        <v>398</v>
      </c>
      <c r="K133" t="s">
        <v>399</v>
      </c>
      <c r="M133" t="s">
        <v>353</v>
      </c>
      <c r="O133" t="s">
        <v>236</v>
      </c>
      <c r="R133" t="s">
        <v>1673</v>
      </c>
      <c r="S133" t="b">
        <f>COUNTIF(D:D,R133)&gt;0</f>
        <v>0</v>
      </c>
    </row>
    <row r="134" spans="1:19" x14ac:dyDescent="0.2">
      <c r="A134" t="s">
        <v>347</v>
      </c>
      <c r="B134" t="s">
        <v>394</v>
      </c>
      <c r="C134" t="s">
        <v>400</v>
      </c>
      <c r="D134" t="s">
        <v>401</v>
      </c>
      <c r="E134" t="b">
        <f>COUNTIF(R:R,D134)&gt;0</f>
        <v>1</v>
      </c>
      <c r="F134" t="str">
        <f t="shared" si="2"/>
        <v>OK</v>
      </c>
      <c r="G134" t="s">
        <v>30</v>
      </c>
      <c r="H134" s="1">
        <v>0</v>
      </c>
      <c r="I134" t="s">
        <v>402</v>
      </c>
      <c r="J134" t="s">
        <v>48</v>
      </c>
      <c r="K134" t="s">
        <v>403</v>
      </c>
      <c r="M134" t="s">
        <v>34</v>
      </c>
      <c r="O134" t="s">
        <v>270</v>
      </c>
      <c r="R134" t="s">
        <v>1638</v>
      </c>
      <c r="S134" t="b">
        <f>COUNTIF(D:D,R134)&gt;0</f>
        <v>0</v>
      </c>
    </row>
    <row r="135" spans="1:19" x14ac:dyDescent="0.2">
      <c r="A135" t="s">
        <v>347</v>
      </c>
      <c r="B135" t="s">
        <v>404</v>
      </c>
      <c r="C135" t="s">
        <v>405</v>
      </c>
      <c r="D135" t="s">
        <v>406</v>
      </c>
      <c r="E135" t="b">
        <f>COUNTIF(R:R,D135)&gt;0</f>
        <v>1</v>
      </c>
      <c r="F135" t="str">
        <f t="shared" si="2"/>
        <v>OK</v>
      </c>
      <c r="G135" t="s">
        <v>30</v>
      </c>
      <c r="H135" s="1">
        <v>0.72</v>
      </c>
      <c r="I135" t="s">
        <v>364</v>
      </c>
      <c r="K135" t="s">
        <v>407</v>
      </c>
      <c r="L135" t="s">
        <v>408</v>
      </c>
      <c r="M135" t="s">
        <v>270</v>
      </c>
      <c r="O135" t="s">
        <v>270</v>
      </c>
      <c r="R135" t="s">
        <v>507</v>
      </c>
      <c r="S135" t="b">
        <f>COUNTIF(D:D,R135)&gt;0</f>
        <v>1</v>
      </c>
    </row>
    <row r="136" spans="1:19" x14ac:dyDescent="0.2">
      <c r="A136" t="s">
        <v>347</v>
      </c>
      <c r="B136" t="s">
        <v>404</v>
      </c>
      <c r="C136" t="s">
        <v>409</v>
      </c>
      <c r="D136" t="s">
        <v>410</v>
      </c>
      <c r="E136" t="b">
        <f>COUNTIF(R:R,D136)&gt;0</f>
        <v>1</v>
      </c>
      <c r="F136" t="str">
        <f t="shared" si="2"/>
        <v>OK</v>
      </c>
      <c r="G136" t="s">
        <v>30</v>
      </c>
      <c r="H136" s="1">
        <v>0.22</v>
      </c>
      <c r="I136" t="s">
        <v>411</v>
      </c>
      <c r="K136" t="s">
        <v>393</v>
      </c>
      <c r="M136" t="s">
        <v>270</v>
      </c>
      <c r="N136" t="s">
        <v>412</v>
      </c>
      <c r="O136" t="s">
        <v>413</v>
      </c>
      <c r="R136" t="s">
        <v>510</v>
      </c>
      <c r="S136" t="b">
        <f>COUNTIF(D:D,R136)&gt;0</f>
        <v>1</v>
      </c>
    </row>
    <row r="137" spans="1:19" x14ac:dyDescent="0.2">
      <c r="A137" t="s">
        <v>347</v>
      </c>
      <c r="B137" t="s">
        <v>404</v>
      </c>
      <c r="C137" t="s">
        <v>414</v>
      </c>
      <c r="D137" t="s">
        <v>415</v>
      </c>
      <c r="E137" t="b">
        <f>COUNTIF(R:R,D137)&gt;0</f>
        <v>1</v>
      </c>
      <c r="F137" t="str">
        <f t="shared" si="2"/>
        <v>OK</v>
      </c>
      <c r="G137" t="s">
        <v>416</v>
      </c>
      <c r="H137" s="1">
        <v>0.68</v>
      </c>
      <c r="I137" t="s">
        <v>370</v>
      </c>
      <c r="K137" t="s">
        <v>417</v>
      </c>
      <c r="L137" t="s">
        <v>418</v>
      </c>
      <c r="M137" t="s">
        <v>419</v>
      </c>
      <c r="N137" t="s">
        <v>420</v>
      </c>
      <c r="O137" t="s">
        <v>413</v>
      </c>
      <c r="R137" t="s">
        <v>1683</v>
      </c>
      <c r="S137" t="b">
        <f>COUNTIF(D:D,R137)&gt;0</f>
        <v>0</v>
      </c>
    </row>
    <row r="138" spans="1:19" x14ac:dyDescent="0.2">
      <c r="A138" t="s">
        <v>347</v>
      </c>
      <c r="B138" t="s">
        <v>404</v>
      </c>
      <c r="C138" t="s">
        <v>421</v>
      </c>
      <c r="D138" t="s">
        <v>422</v>
      </c>
      <c r="E138" t="b">
        <f>COUNTIF(R:R,D138)&gt;0</f>
        <v>1</v>
      </c>
      <c r="F138" t="str">
        <f t="shared" si="2"/>
        <v>OK</v>
      </c>
      <c r="G138" t="s">
        <v>30</v>
      </c>
      <c r="H138" s="1">
        <v>0.73</v>
      </c>
      <c r="I138" t="s">
        <v>364</v>
      </c>
      <c r="K138" t="s">
        <v>385</v>
      </c>
      <c r="M138" t="s">
        <v>419</v>
      </c>
      <c r="N138" t="s">
        <v>270</v>
      </c>
      <c r="O138" t="s">
        <v>423</v>
      </c>
      <c r="R138" t="s">
        <v>513</v>
      </c>
      <c r="S138" t="b">
        <f>COUNTIF(D:D,R138)&gt;0</f>
        <v>1</v>
      </c>
    </row>
    <row r="139" spans="1:19" x14ac:dyDescent="0.2">
      <c r="A139" t="s">
        <v>347</v>
      </c>
      <c r="B139" t="s">
        <v>404</v>
      </c>
      <c r="C139" t="s">
        <v>424</v>
      </c>
      <c r="D139" t="s">
        <v>422</v>
      </c>
      <c r="E139" t="b">
        <f>COUNTIF(R:R,D139)&gt;0</f>
        <v>1</v>
      </c>
      <c r="F139" t="str">
        <f t="shared" si="2"/>
        <v>OK</v>
      </c>
      <c r="G139" t="s">
        <v>30</v>
      </c>
      <c r="H139" s="1">
        <v>0.66</v>
      </c>
      <c r="I139" t="s">
        <v>425</v>
      </c>
      <c r="K139" t="s">
        <v>385</v>
      </c>
      <c r="L139" t="s">
        <v>426</v>
      </c>
      <c r="M139" t="s">
        <v>427</v>
      </c>
      <c r="N139" t="s">
        <v>270</v>
      </c>
      <c r="O139" t="s">
        <v>428</v>
      </c>
      <c r="R139" t="s">
        <v>1679</v>
      </c>
      <c r="S139" t="b">
        <f>COUNTIF(D:D,R139)&gt;0</f>
        <v>0</v>
      </c>
    </row>
    <row r="140" spans="1:19" x14ac:dyDescent="0.2">
      <c r="A140" t="s">
        <v>347</v>
      </c>
      <c r="B140" t="s">
        <v>404</v>
      </c>
      <c r="C140" t="s">
        <v>429</v>
      </c>
      <c r="D140" t="s">
        <v>430</v>
      </c>
      <c r="E140" t="b">
        <f>COUNTIF(R:R,D140)&gt;0</f>
        <v>1</v>
      </c>
      <c r="F140" t="str">
        <f t="shared" si="2"/>
        <v>OK</v>
      </c>
      <c r="G140" t="s">
        <v>30</v>
      </c>
      <c r="H140" s="1">
        <v>0.6</v>
      </c>
      <c r="I140" t="s">
        <v>431</v>
      </c>
      <c r="K140" t="s">
        <v>385</v>
      </c>
      <c r="M140" t="s">
        <v>146</v>
      </c>
      <c r="N140" t="s">
        <v>55</v>
      </c>
      <c r="O140" t="s">
        <v>270</v>
      </c>
      <c r="R140" t="s">
        <v>1670</v>
      </c>
      <c r="S140" t="b">
        <f>COUNTIF(D:D,R140)&gt;0</f>
        <v>0</v>
      </c>
    </row>
    <row r="141" spans="1:19" x14ac:dyDescent="0.2">
      <c r="A141" t="s">
        <v>347</v>
      </c>
      <c r="B141" t="s">
        <v>404</v>
      </c>
      <c r="C141" t="s">
        <v>432</v>
      </c>
      <c r="D141" t="s">
        <v>433</v>
      </c>
      <c r="E141" t="b">
        <f>COUNTIF(R:R,D141)&gt;0</f>
        <v>1</v>
      </c>
      <c r="F141" t="str">
        <f t="shared" si="2"/>
        <v>OK</v>
      </c>
      <c r="G141" t="s">
        <v>30</v>
      </c>
      <c r="H141" s="1">
        <v>0.14000000000000001</v>
      </c>
      <c r="I141" t="s">
        <v>434</v>
      </c>
      <c r="K141" t="s">
        <v>403</v>
      </c>
      <c r="L141" t="s">
        <v>55</v>
      </c>
      <c r="M141" t="s">
        <v>435</v>
      </c>
      <c r="O141" t="s">
        <v>270</v>
      </c>
      <c r="R141" t="s">
        <v>1627</v>
      </c>
      <c r="S141" t="b">
        <f>COUNTIF(D:D,R141)&gt;0</f>
        <v>0</v>
      </c>
    </row>
    <row r="142" spans="1:19" x14ac:dyDescent="0.2">
      <c r="A142" t="s">
        <v>436</v>
      </c>
      <c r="B142" t="s">
        <v>404</v>
      </c>
      <c r="C142" t="s">
        <v>437</v>
      </c>
      <c r="D142" t="s">
        <v>438</v>
      </c>
      <c r="E142" t="b">
        <f>COUNTIF(R:R,D142)&gt;0</f>
        <v>1</v>
      </c>
      <c r="F142" t="str">
        <f t="shared" si="2"/>
        <v>OK</v>
      </c>
      <c r="G142" t="s">
        <v>30</v>
      </c>
      <c r="H142" s="1">
        <v>0.6</v>
      </c>
      <c r="I142" t="s">
        <v>439</v>
      </c>
      <c r="K142" t="s">
        <v>417</v>
      </c>
      <c r="L142" t="s">
        <v>440</v>
      </c>
      <c r="M142" t="s">
        <v>441</v>
      </c>
      <c r="N142" t="s">
        <v>428</v>
      </c>
      <c r="O142" t="s">
        <v>442</v>
      </c>
      <c r="R142" t="s">
        <v>530</v>
      </c>
      <c r="S142" t="b">
        <f>COUNTIF(D:D,R142)&gt;0</f>
        <v>1</v>
      </c>
    </row>
    <row r="143" spans="1:19" x14ac:dyDescent="0.2">
      <c r="A143" t="s">
        <v>436</v>
      </c>
      <c r="B143" t="s">
        <v>443</v>
      </c>
      <c r="C143" t="s">
        <v>444</v>
      </c>
      <c r="D143" t="s">
        <v>445</v>
      </c>
      <c r="E143" t="b">
        <f>COUNTIF(R:R,D143)&gt;0</f>
        <v>1</v>
      </c>
      <c r="F143" t="str">
        <f t="shared" si="2"/>
        <v>OK</v>
      </c>
      <c r="G143" t="s">
        <v>416</v>
      </c>
      <c r="H143" s="1">
        <v>0.63</v>
      </c>
      <c r="I143" t="s">
        <v>446</v>
      </c>
      <c r="K143" t="s">
        <v>447</v>
      </c>
      <c r="L143" t="s">
        <v>366</v>
      </c>
      <c r="M143" t="s">
        <v>448</v>
      </c>
      <c r="N143" t="s">
        <v>270</v>
      </c>
      <c r="O143" t="s">
        <v>428</v>
      </c>
      <c r="R143" t="s">
        <v>535</v>
      </c>
      <c r="S143" t="b">
        <f>COUNTIF(D:D,R143)&gt;0</f>
        <v>1</v>
      </c>
    </row>
    <row r="144" spans="1:19" x14ac:dyDescent="0.2">
      <c r="A144" t="s">
        <v>436</v>
      </c>
      <c r="B144" t="s">
        <v>443</v>
      </c>
      <c r="C144" t="s">
        <v>449</v>
      </c>
      <c r="D144" t="s">
        <v>450</v>
      </c>
      <c r="E144" t="b">
        <f>COUNTIF(R:R,D144)&gt;0</f>
        <v>1</v>
      </c>
      <c r="F144" t="str">
        <f t="shared" si="2"/>
        <v>OK</v>
      </c>
      <c r="G144" t="s">
        <v>416</v>
      </c>
      <c r="H144" s="1">
        <v>0.65</v>
      </c>
      <c r="I144" t="s">
        <v>451</v>
      </c>
      <c r="K144" t="s">
        <v>452</v>
      </c>
      <c r="L144" t="s">
        <v>419</v>
      </c>
      <c r="M144" t="s">
        <v>426</v>
      </c>
      <c r="N144" t="s">
        <v>270</v>
      </c>
      <c r="O144" t="s">
        <v>453</v>
      </c>
      <c r="R144" t="s">
        <v>1656</v>
      </c>
      <c r="S144" t="b">
        <f>COUNTIF(D:D,R144)&gt;0</f>
        <v>0</v>
      </c>
    </row>
    <row r="145" spans="1:19" x14ac:dyDescent="0.2">
      <c r="A145" t="s">
        <v>436</v>
      </c>
      <c r="B145" t="s">
        <v>443</v>
      </c>
      <c r="C145" t="s">
        <v>449</v>
      </c>
      <c r="D145" t="s">
        <v>450</v>
      </c>
      <c r="E145" t="b">
        <f>COUNTIF(R:R,D145)&gt;0</f>
        <v>1</v>
      </c>
      <c r="F145" t="str">
        <f t="shared" si="2"/>
        <v>OK</v>
      </c>
      <c r="G145" t="s">
        <v>416</v>
      </c>
      <c r="H145" t="s">
        <v>428</v>
      </c>
      <c r="I145" t="s">
        <v>454</v>
      </c>
      <c r="K145" t="s">
        <v>455</v>
      </c>
      <c r="L145" t="s">
        <v>419</v>
      </c>
      <c r="M145" t="s">
        <v>426</v>
      </c>
      <c r="N145" t="s">
        <v>270</v>
      </c>
      <c r="O145" t="s">
        <v>453</v>
      </c>
      <c r="R145" t="s">
        <v>537</v>
      </c>
      <c r="S145" t="b">
        <f>COUNTIF(D:D,R145)&gt;0</f>
        <v>1</v>
      </c>
    </row>
    <row r="146" spans="1:19" x14ac:dyDescent="0.2">
      <c r="A146" t="s">
        <v>436</v>
      </c>
      <c r="B146" t="s">
        <v>443</v>
      </c>
      <c r="C146" t="s">
        <v>456</v>
      </c>
      <c r="D146" t="s">
        <v>457</v>
      </c>
      <c r="E146" t="b">
        <f>COUNTIF(R:R,D146)&gt;0</f>
        <v>1</v>
      </c>
      <c r="F146" t="str">
        <f t="shared" si="2"/>
        <v>OK</v>
      </c>
      <c r="G146" t="s">
        <v>30</v>
      </c>
      <c r="H146" s="1">
        <v>0.34</v>
      </c>
      <c r="I146" t="s">
        <v>458</v>
      </c>
      <c r="J146" t="s">
        <v>459</v>
      </c>
      <c r="K146" t="s">
        <v>460</v>
      </c>
      <c r="M146" t="s">
        <v>270</v>
      </c>
      <c r="O146" t="s">
        <v>270</v>
      </c>
      <c r="R146" t="s">
        <v>1674</v>
      </c>
      <c r="S146" t="b">
        <f>COUNTIF(D:D,R146)&gt;0</f>
        <v>1</v>
      </c>
    </row>
    <row r="147" spans="1:19" x14ac:dyDescent="0.2">
      <c r="A147" t="s">
        <v>436</v>
      </c>
      <c r="B147" t="s">
        <v>461</v>
      </c>
      <c r="C147" t="s">
        <v>462</v>
      </c>
      <c r="D147" t="s">
        <v>463</v>
      </c>
      <c r="E147" t="b">
        <f>COUNTIF(R:R,D147)&gt;0</f>
        <v>0</v>
      </c>
      <c r="F147" t="str">
        <f t="shared" si="2"/>
        <v>OK</v>
      </c>
      <c r="G147" t="s">
        <v>18</v>
      </c>
      <c r="R147" t="s">
        <v>521</v>
      </c>
      <c r="S147" t="b">
        <f>COUNTIF(D:D,R147)&gt;0</f>
        <v>1</v>
      </c>
    </row>
    <row r="148" spans="1:19" x14ac:dyDescent="0.2">
      <c r="A148" t="s">
        <v>436</v>
      </c>
      <c r="B148" t="s">
        <v>464</v>
      </c>
      <c r="C148" t="s">
        <v>465</v>
      </c>
      <c r="D148" t="s">
        <v>466</v>
      </c>
      <c r="E148" t="b">
        <f>COUNTIF(R:R,D148)&gt;0</f>
        <v>1</v>
      </c>
      <c r="F148" t="str">
        <f t="shared" si="2"/>
        <v>OK</v>
      </c>
      <c r="G148" t="s">
        <v>30</v>
      </c>
      <c r="H148" s="1">
        <v>0.02</v>
      </c>
      <c r="I148" t="s">
        <v>467</v>
      </c>
      <c r="K148" t="s">
        <v>353</v>
      </c>
      <c r="M148" t="s">
        <v>353</v>
      </c>
      <c r="O148" t="s">
        <v>22</v>
      </c>
      <c r="R148" t="s">
        <v>544</v>
      </c>
      <c r="S148" t="b">
        <f>COUNTIF(D:D,R148)&gt;0</f>
        <v>1</v>
      </c>
    </row>
    <row r="149" spans="1:19" x14ac:dyDescent="0.2">
      <c r="A149" t="s">
        <v>436</v>
      </c>
      <c r="B149" t="s">
        <v>464</v>
      </c>
      <c r="C149" t="s">
        <v>468</v>
      </c>
      <c r="D149" t="s">
        <v>469</v>
      </c>
      <c r="E149" t="b">
        <f>COUNTIF(R:R,D149)&gt;0</f>
        <v>1</v>
      </c>
      <c r="F149" t="str">
        <f t="shared" si="2"/>
        <v>OK</v>
      </c>
      <c r="G149" t="s">
        <v>18</v>
      </c>
      <c r="H149" s="1">
        <v>0.03</v>
      </c>
      <c r="I149" t="s">
        <v>470</v>
      </c>
      <c r="K149" t="s">
        <v>353</v>
      </c>
      <c r="M149" t="s">
        <v>353</v>
      </c>
      <c r="O149" t="s">
        <v>22</v>
      </c>
      <c r="R149" t="s">
        <v>1639</v>
      </c>
      <c r="S149" t="b">
        <f>COUNTIF(D:D,R149)&gt;0</f>
        <v>0</v>
      </c>
    </row>
    <row r="150" spans="1:19" x14ac:dyDescent="0.2">
      <c r="A150" t="s">
        <v>436</v>
      </c>
      <c r="B150" t="s">
        <v>464</v>
      </c>
      <c r="C150" t="s">
        <v>471</v>
      </c>
      <c r="D150" t="s">
        <v>472</v>
      </c>
      <c r="E150" t="b">
        <f>COUNTIF(R:R,D150)&gt;0</f>
        <v>1</v>
      </c>
      <c r="F150" t="str">
        <f t="shared" si="2"/>
        <v>OK</v>
      </c>
      <c r="G150" t="s">
        <v>18</v>
      </c>
      <c r="H150" s="1">
        <v>0.03</v>
      </c>
      <c r="I150" t="s">
        <v>473</v>
      </c>
      <c r="K150" t="s">
        <v>353</v>
      </c>
      <c r="M150" t="s">
        <v>353</v>
      </c>
      <c r="O150" t="s">
        <v>22</v>
      </c>
      <c r="R150" t="s">
        <v>758</v>
      </c>
      <c r="S150" t="b">
        <f>COUNTIF(D:D,R150)&gt;0</f>
        <v>1</v>
      </c>
    </row>
    <row r="151" spans="1:19" x14ac:dyDescent="0.2">
      <c r="A151" t="s">
        <v>436</v>
      </c>
      <c r="B151" t="s">
        <v>464</v>
      </c>
      <c r="C151" t="s">
        <v>474</v>
      </c>
      <c r="D151" t="s">
        <v>475</v>
      </c>
      <c r="E151" t="b">
        <f>COUNTIF(R:R,D151)&gt;0</f>
        <v>1</v>
      </c>
      <c r="F151" t="str">
        <f t="shared" si="2"/>
        <v>OK</v>
      </c>
      <c r="G151" t="s">
        <v>18</v>
      </c>
      <c r="H151" s="1">
        <v>0.1</v>
      </c>
      <c r="I151" t="s">
        <v>476</v>
      </c>
      <c r="K151" t="s">
        <v>353</v>
      </c>
      <c r="M151" t="s">
        <v>353</v>
      </c>
      <c r="O151" t="s">
        <v>477</v>
      </c>
      <c r="R151" t="s">
        <v>756</v>
      </c>
      <c r="S151" t="b">
        <f>COUNTIF(D:D,R151)&gt;0</f>
        <v>1</v>
      </c>
    </row>
    <row r="152" spans="1:19" x14ac:dyDescent="0.2">
      <c r="A152" t="s">
        <v>478</v>
      </c>
      <c r="B152" t="s">
        <v>479</v>
      </c>
      <c r="C152" t="s">
        <v>480</v>
      </c>
      <c r="D152" t="s">
        <v>481</v>
      </c>
      <c r="E152" t="b">
        <f>COUNTIF(R:R,D152)&gt;0</f>
        <v>1</v>
      </c>
      <c r="F152" t="str">
        <f t="shared" si="2"/>
        <v>OK</v>
      </c>
      <c r="G152" t="s">
        <v>30</v>
      </c>
      <c r="H152" s="1">
        <v>0.55000000000000004</v>
      </c>
      <c r="I152" t="s">
        <v>55</v>
      </c>
      <c r="K152" t="s">
        <v>270</v>
      </c>
      <c r="L152" t="s">
        <v>55</v>
      </c>
      <c r="M152" t="s">
        <v>270</v>
      </c>
      <c r="O152" t="s">
        <v>482</v>
      </c>
      <c r="P152" t="s">
        <v>483</v>
      </c>
      <c r="R152" t="s">
        <v>753</v>
      </c>
      <c r="S152" t="b">
        <f>COUNTIF(D:D,R152)&gt;0</f>
        <v>1</v>
      </c>
    </row>
    <row r="153" spans="1:19" x14ac:dyDescent="0.2">
      <c r="A153" t="s">
        <v>478</v>
      </c>
      <c r="B153" t="s">
        <v>479</v>
      </c>
      <c r="C153" t="s">
        <v>484</v>
      </c>
      <c r="D153" t="s">
        <v>485</v>
      </c>
      <c r="E153" t="b">
        <f>COUNTIF(R:R,D153)&gt;0</f>
        <v>1</v>
      </c>
      <c r="F153" t="str">
        <f t="shared" si="2"/>
        <v>OK</v>
      </c>
      <c r="G153" t="s">
        <v>30</v>
      </c>
      <c r="H153" s="1">
        <v>0.25</v>
      </c>
      <c r="I153" t="s">
        <v>486</v>
      </c>
      <c r="K153" t="s">
        <v>487</v>
      </c>
      <c r="L153" t="s">
        <v>55</v>
      </c>
      <c r="M153" t="s">
        <v>488</v>
      </c>
      <c r="N153" t="s">
        <v>489</v>
      </c>
      <c r="O153" t="s">
        <v>270</v>
      </c>
      <c r="R153" t="s">
        <v>760</v>
      </c>
      <c r="S153" t="b">
        <f>COUNTIF(D:D,R153)&gt;0</f>
        <v>1</v>
      </c>
    </row>
    <row r="154" spans="1:19" x14ac:dyDescent="0.2">
      <c r="A154" t="s">
        <v>478</v>
      </c>
      <c r="B154" t="s">
        <v>479</v>
      </c>
      <c r="C154" t="s">
        <v>490</v>
      </c>
      <c r="D154" t="s">
        <v>491</v>
      </c>
      <c r="E154" t="b">
        <f>COUNTIF(R:R,D154)&gt;0</f>
        <v>1</v>
      </c>
      <c r="F154" t="str">
        <f t="shared" si="2"/>
        <v>OK</v>
      </c>
      <c r="G154" t="s">
        <v>30</v>
      </c>
      <c r="H154" s="1">
        <v>0.22</v>
      </c>
      <c r="I154" t="s">
        <v>492</v>
      </c>
      <c r="K154" t="s">
        <v>493</v>
      </c>
      <c r="L154" t="s">
        <v>55</v>
      </c>
      <c r="M154" t="s">
        <v>494</v>
      </c>
      <c r="O154" t="s">
        <v>270</v>
      </c>
      <c r="R154" t="s">
        <v>762</v>
      </c>
      <c r="S154" t="b">
        <f>COUNTIF(D:D,R154)&gt;0</f>
        <v>1</v>
      </c>
    </row>
    <row r="155" spans="1:19" x14ac:dyDescent="0.2">
      <c r="A155" t="s">
        <v>478</v>
      </c>
      <c r="B155" t="s">
        <v>479</v>
      </c>
      <c r="C155" t="s">
        <v>495</v>
      </c>
      <c r="D155" t="s">
        <v>496</v>
      </c>
      <c r="E155" t="b">
        <f>COUNTIF(R:R,D155)&gt;0</f>
        <v>1</v>
      </c>
      <c r="F155" t="str">
        <f t="shared" si="2"/>
        <v>OK</v>
      </c>
      <c r="G155" t="s">
        <v>30</v>
      </c>
      <c r="H155" s="1">
        <v>0.32</v>
      </c>
      <c r="I155" t="s">
        <v>497</v>
      </c>
      <c r="K155" t="s">
        <v>498</v>
      </c>
      <c r="M155" t="s">
        <v>488</v>
      </c>
      <c r="N155" t="s">
        <v>499</v>
      </c>
      <c r="O155" t="s">
        <v>270</v>
      </c>
      <c r="R155" t="s">
        <v>606</v>
      </c>
      <c r="S155" t="b">
        <f>COUNTIF(D:D,R155)&gt;0</f>
        <v>1</v>
      </c>
    </row>
    <row r="156" spans="1:19" x14ac:dyDescent="0.2">
      <c r="A156" t="s">
        <v>478</v>
      </c>
      <c r="B156" t="s">
        <v>479</v>
      </c>
      <c r="C156" t="s">
        <v>500</v>
      </c>
      <c r="D156" t="s">
        <v>501</v>
      </c>
      <c r="E156" t="b">
        <f>COUNTIF(R:R,D156)&gt;0</f>
        <v>1</v>
      </c>
      <c r="F156" t="str">
        <f t="shared" si="2"/>
        <v>OK</v>
      </c>
      <c r="G156" t="s">
        <v>30</v>
      </c>
      <c r="H156" s="1">
        <v>0.3</v>
      </c>
      <c r="I156" t="s">
        <v>502</v>
      </c>
      <c r="K156" t="s">
        <v>270</v>
      </c>
      <c r="M156" t="s">
        <v>503</v>
      </c>
      <c r="N156" t="s">
        <v>488</v>
      </c>
      <c r="O156" t="s">
        <v>270</v>
      </c>
      <c r="R156" t="s">
        <v>642</v>
      </c>
      <c r="S156" t="b">
        <f>COUNTIF(D:D,R156)&gt;0</f>
        <v>1</v>
      </c>
    </row>
    <row r="157" spans="1:19" x14ac:dyDescent="0.2">
      <c r="A157" t="s">
        <v>478</v>
      </c>
      <c r="B157" t="s">
        <v>479</v>
      </c>
      <c r="C157" t="s">
        <v>500</v>
      </c>
      <c r="D157" t="s">
        <v>501</v>
      </c>
      <c r="E157" t="b">
        <f>COUNTIF(R:R,D157)&gt;0</f>
        <v>1</v>
      </c>
      <c r="F157" t="str">
        <f t="shared" si="2"/>
        <v>OK</v>
      </c>
      <c r="G157" t="s">
        <v>30</v>
      </c>
      <c r="H157" s="1">
        <v>0.42</v>
      </c>
      <c r="I157" t="s">
        <v>504</v>
      </c>
      <c r="K157" t="s">
        <v>270</v>
      </c>
      <c r="M157" t="s">
        <v>505</v>
      </c>
      <c r="O157" t="s">
        <v>270</v>
      </c>
      <c r="R157" t="s">
        <v>1678</v>
      </c>
      <c r="S157" t="b">
        <f>COUNTIF(D:D,R157)&gt;0</f>
        <v>0</v>
      </c>
    </row>
    <row r="158" spans="1:19" x14ac:dyDescent="0.2">
      <c r="A158" t="s">
        <v>478</v>
      </c>
      <c r="B158" t="s">
        <v>479</v>
      </c>
      <c r="C158" t="s">
        <v>506</v>
      </c>
      <c r="D158" t="s">
        <v>507</v>
      </c>
      <c r="E158" t="b">
        <f>COUNTIF(R:R,D158)&gt;0</f>
        <v>1</v>
      </c>
      <c r="F158" t="str">
        <f t="shared" si="2"/>
        <v>OK</v>
      </c>
      <c r="G158" t="s">
        <v>30</v>
      </c>
      <c r="H158" s="1">
        <v>0.5</v>
      </c>
      <c r="I158" t="s">
        <v>55</v>
      </c>
      <c r="K158" t="s">
        <v>270</v>
      </c>
      <c r="M158" t="s">
        <v>508</v>
      </c>
      <c r="O158" t="s">
        <v>270</v>
      </c>
      <c r="R158" t="s">
        <v>654</v>
      </c>
      <c r="S158" t="b">
        <f>COUNTIF(D:D,R158)&gt;0</f>
        <v>1</v>
      </c>
    </row>
    <row r="159" spans="1:19" x14ac:dyDescent="0.2">
      <c r="A159" t="s">
        <v>478</v>
      </c>
      <c r="B159" t="s">
        <v>479</v>
      </c>
      <c r="C159" t="s">
        <v>509</v>
      </c>
      <c r="D159" t="s">
        <v>510</v>
      </c>
      <c r="E159" t="b">
        <f>COUNTIF(R:R,D159)&gt;0</f>
        <v>1</v>
      </c>
      <c r="F159" t="str">
        <f t="shared" si="2"/>
        <v>OK</v>
      </c>
      <c r="G159" t="s">
        <v>30</v>
      </c>
      <c r="H159" s="1">
        <v>0.45</v>
      </c>
      <c r="I159" t="s">
        <v>511</v>
      </c>
      <c r="K159" t="s">
        <v>270</v>
      </c>
      <c r="M159" t="s">
        <v>270</v>
      </c>
      <c r="N159" t="s">
        <v>55</v>
      </c>
      <c r="O159" t="s">
        <v>270</v>
      </c>
      <c r="R159" t="s">
        <v>1628</v>
      </c>
      <c r="S159" t="b">
        <f>COUNTIF(D:D,R159)&gt;0</f>
        <v>0</v>
      </c>
    </row>
    <row r="160" spans="1:19" x14ac:dyDescent="0.2">
      <c r="A160" t="s">
        <v>478</v>
      </c>
      <c r="B160" t="s">
        <v>479</v>
      </c>
      <c r="C160" t="s">
        <v>512</v>
      </c>
      <c r="D160" t="s">
        <v>513</v>
      </c>
      <c r="E160" t="b">
        <f>COUNTIF(R:R,D160)&gt;0</f>
        <v>1</v>
      </c>
      <c r="F160" t="str">
        <f t="shared" si="2"/>
        <v>OK</v>
      </c>
      <c r="G160" t="s">
        <v>416</v>
      </c>
      <c r="H160" s="1">
        <v>0.5</v>
      </c>
      <c r="K160" t="s">
        <v>270</v>
      </c>
      <c r="L160" t="s">
        <v>270</v>
      </c>
      <c r="M160" t="s">
        <v>514</v>
      </c>
      <c r="N160" t="s">
        <v>515</v>
      </c>
      <c r="O160" t="s">
        <v>270</v>
      </c>
      <c r="R160" t="s">
        <v>586</v>
      </c>
      <c r="S160" t="b">
        <f>COUNTIF(D:D,R160)&gt;0</f>
        <v>1</v>
      </c>
    </row>
    <row r="161" spans="1:19" x14ac:dyDescent="0.2">
      <c r="A161" t="s">
        <v>478</v>
      </c>
      <c r="B161" t="s">
        <v>479</v>
      </c>
      <c r="C161" t="s">
        <v>512</v>
      </c>
      <c r="D161" t="s">
        <v>513</v>
      </c>
      <c r="E161" t="b">
        <f>COUNTIF(R:R,D161)&gt;0</f>
        <v>1</v>
      </c>
      <c r="F161" t="str">
        <f t="shared" si="2"/>
        <v>OK</v>
      </c>
      <c r="G161" t="s">
        <v>416</v>
      </c>
      <c r="H161" s="1">
        <v>0.5</v>
      </c>
      <c r="K161" t="s">
        <v>270</v>
      </c>
      <c r="L161" t="s">
        <v>270</v>
      </c>
      <c r="M161" t="s">
        <v>516</v>
      </c>
      <c r="O161" t="s">
        <v>270</v>
      </c>
      <c r="R161" t="s">
        <v>588</v>
      </c>
      <c r="S161" t="b">
        <f>COUNTIF(D:D,R161)&gt;0</f>
        <v>1</v>
      </c>
    </row>
    <row r="162" spans="1:19" x14ac:dyDescent="0.2">
      <c r="A162" t="s">
        <v>478</v>
      </c>
      <c r="B162" t="s">
        <v>479</v>
      </c>
      <c r="C162" t="s">
        <v>512</v>
      </c>
      <c r="D162" t="s">
        <v>513</v>
      </c>
      <c r="E162" t="b">
        <f>COUNTIF(R:R,D162)&gt;0</f>
        <v>1</v>
      </c>
      <c r="F162" t="str">
        <f t="shared" si="2"/>
        <v>OK</v>
      </c>
      <c r="G162" t="s">
        <v>416</v>
      </c>
      <c r="H162" s="1">
        <v>0.5</v>
      </c>
      <c r="K162" t="s">
        <v>270</v>
      </c>
      <c r="L162" t="s">
        <v>270</v>
      </c>
      <c r="M162" t="s">
        <v>517</v>
      </c>
      <c r="O162" t="s">
        <v>270</v>
      </c>
      <c r="R162" t="s">
        <v>1633</v>
      </c>
      <c r="S162" t="b">
        <f>COUNTIF(D:D,R162)&gt;0</f>
        <v>0</v>
      </c>
    </row>
    <row r="163" spans="1:19" x14ac:dyDescent="0.2">
      <c r="A163" t="s">
        <v>478</v>
      </c>
      <c r="B163" t="s">
        <v>479</v>
      </c>
      <c r="C163" t="s">
        <v>518</v>
      </c>
      <c r="D163" t="s">
        <v>519</v>
      </c>
      <c r="E163" t="b">
        <f>COUNTIF(R:R,D163)&gt;0</f>
        <v>0</v>
      </c>
      <c r="F163" t="str">
        <f t="shared" si="2"/>
        <v>OK</v>
      </c>
      <c r="G163" t="s">
        <v>18</v>
      </c>
      <c r="R163" t="s">
        <v>727</v>
      </c>
      <c r="S163" t="b">
        <f>COUNTIF(D:D,R163)&gt;0</f>
        <v>1</v>
      </c>
    </row>
    <row r="164" spans="1:19" x14ac:dyDescent="0.2">
      <c r="A164" t="s">
        <v>478</v>
      </c>
      <c r="B164" t="s">
        <v>479</v>
      </c>
      <c r="C164" t="s">
        <v>520</v>
      </c>
      <c r="D164" t="s">
        <v>521</v>
      </c>
      <c r="E164" t="b">
        <f>COUNTIF(R:R,D164)&gt;0</f>
        <v>1</v>
      </c>
      <c r="F164" t="str">
        <f t="shared" si="2"/>
        <v>OK</v>
      </c>
      <c r="G164" t="s">
        <v>30</v>
      </c>
      <c r="H164" s="1">
        <v>0.55000000000000004</v>
      </c>
      <c r="K164" t="s">
        <v>270</v>
      </c>
      <c r="M164" t="s">
        <v>270</v>
      </c>
      <c r="O164" t="s">
        <v>270</v>
      </c>
      <c r="R164" t="s">
        <v>1642</v>
      </c>
      <c r="S164" t="b">
        <f>COUNTIF(D:D,R164)&gt;0</f>
        <v>0</v>
      </c>
    </row>
    <row r="165" spans="1:19" x14ac:dyDescent="0.2">
      <c r="A165" t="s">
        <v>478</v>
      </c>
      <c r="B165" t="s">
        <v>479</v>
      </c>
      <c r="C165" t="s">
        <v>522</v>
      </c>
      <c r="D165" t="s">
        <v>523</v>
      </c>
      <c r="E165" t="b">
        <f>COUNTIF(R:R,D165)&gt;0</f>
        <v>0</v>
      </c>
      <c r="F165" t="str">
        <f t="shared" si="2"/>
        <v>OK</v>
      </c>
      <c r="G165" t="s">
        <v>18</v>
      </c>
      <c r="H165" s="1">
        <v>0.26</v>
      </c>
      <c r="I165" t="s">
        <v>524</v>
      </c>
      <c r="K165" t="s">
        <v>487</v>
      </c>
      <c r="M165" t="s">
        <v>525</v>
      </c>
      <c r="N165" t="s">
        <v>526</v>
      </c>
      <c r="O165" t="s">
        <v>270</v>
      </c>
      <c r="R165" t="s">
        <v>724</v>
      </c>
      <c r="S165" t="b">
        <f>COUNTIF(D:D,R165)&gt;0</f>
        <v>1</v>
      </c>
    </row>
    <row r="166" spans="1:19" x14ac:dyDescent="0.2">
      <c r="A166" t="s">
        <v>478</v>
      </c>
      <c r="B166" t="s">
        <v>479</v>
      </c>
      <c r="C166" t="s">
        <v>522</v>
      </c>
      <c r="D166" t="s">
        <v>523</v>
      </c>
      <c r="E166" t="b">
        <f>COUNTIF(R:R,D166)&gt;0</f>
        <v>0</v>
      </c>
      <c r="F166" t="str">
        <f t="shared" si="2"/>
        <v>OK</v>
      </c>
      <c r="G166" t="s">
        <v>18</v>
      </c>
      <c r="H166" s="1">
        <v>0.26</v>
      </c>
      <c r="I166" t="s">
        <v>524</v>
      </c>
      <c r="K166" t="s">
        <v>487</v>
      </c>
      <c r="M166" t="s">
        <v>527</v>
      </c>
      <c r="N166" t="s">
        <v>528</v>
      </c>
      <c r="O166" t="s">
        <v>270</v>
      </c>
      <c r="R166" t="s">
        <v>712</v>
      </c>
      <c r="S166" t="b">
        <f>COUNTIF(D:D,R166)&gt;0</f>
        <v>1</v>
      </c>
    </row>
    <row r="167" spans="1:19" x14ac:dyDescent="0.2">
      <c r="A167" t="s">
        <v>478</v>
      </c>
      <c r="B167" t="s">
        <v>479</v>
      </c>
      <c r="C167" t="s">
        <v>529</v>
      </c>
      <c r="D167" t="s">
        <v>530</v>
      </c>
      <c r="E167" t="b">
        <f>COUNTIF(R:R,D167)&gt;0</f>
        <v>1</v>
      </c>
      <c r="F167" t="str">
        <f t="shared" si="2"/>
        <v>OK</v>
      </c>
      <c r="G167" t="s">
        <v>18</v>
      </c>
      <c r="H167" s="1">
        <v>0.12</v>
      </c>
      <c r="K167" t="s">
        <v>498</v>
      </c>
      <c r="M167" t="s">
        <v>270</v>
      </c>
      <c r="O167" t="s">
        <v>531</v>
      </c>
      <c r="R167" t="s">
        <v>1634</v>
      </c>
      <c r="S167" t="b">
        <f>COUNTIF(D:D,R167)&gt;0</f>
        <v>0</v>
      </c>
    </row>
    <row r="168" spans="1:19" x14ac:dyDescent="0.2">
      <c r="A168" t="s">
        <v>478</v>
      </c>
      <c r="B168" t="s">
        <v>479</v>
      </c>
      <c r="C168" t="s">
        <v>532</v>
      </c>
      <c r="D168" t="s">
        <v>1674</v>
      </c>
      <c r="E168" t="b">
        <f>COUNTIF(R:R,D168)&gt;0</f>
        <v>1</v>
      </c>
      <c r="F168" t="str">
        <f t="shared" si="2"/>
        <v>OK</v>
      </c>
      <c r="G168" t="s">
        <v>30</v>
      </c>
      <c r="H168" s="1">
        <v>0.14000000000000001</v>
      </c>
      <c r="I168" t="s">
        <v>533</v>
      </c>
      <c r="K168" t="s">
        <v>487</v>
      </c>
      <c r="M168" t="s">
        <v>487</v>
      </c>
      <c r="N168" t="s">
        <v>55</v>
      </c>
      <c r="O168" t="s">
        <v>487</v>
      </c>
      <c r="R168" t="s">
        <v>717</v>
      </c>
      <c r="S168" t="b">
        <f>COUNTIF(D:D,R168)&gt;0</f>
        <v>1</v>
      </c>
    </row>
    <row r="169" spans="1:19" x14ac:dyDescent="0.2">
      <c r="A169" t="s">
        <v>478</v>
      </c>
      <c r="B169" t="s">
        <v>479</v>
      </c>
      <c r="C169" t="s">
        <v>534</v>
      </c>
      <c r="D169" t="s">
        <v>535</v>
      </c>
      <c r="E169" t="b">
        <f>COUNTIF(R:R,D169)&gt;0</f>
        <v>1</v>
      </c>
      <c r="F169" t="str">
        <f t="shared" si="2"/>
        <v>OK</v>
      </c>
      <c r="G169" t="s">
        <v>30</v>
      </c>
      <c r="H169" s="1">
        <v>0.26</v>
      </c>
      <c r="K169" t="s">
        <v>487</v>
      </c>
      <c r="M169" t="s">
        <v>505</v>
      </c>
      <c r="N169" t="s">
        <v>488</v>
      </c>
      <c r="O169" t="s">
        <v>270</v>
      </c>
      <c r="R169" t="s">
        <v>1632</v>
      </c>
      <c r="S169" t="b">
        <f>COUNTIF(D:D,R169)&gt;0</f>
        <v>1</v>
      </c>
    </row>
    <row r="170" spans="1:19" x14ac:dyDescent="0.2">
      <c r="A170" t="s">
        <v>478</v>
      </c>
      <c r="B170" t="s">
        <v>479</v>
      </c>
      <c r="C170" t="s">
        <v>536</v>
      </c>
      <c r="D170" t="s">
        <v>537</v>
      </c>
      <c r="E170" t="b">
        <f>COUNTIF(R:R,D170)&gt;0</f>
        <v>1</v>
      </c>
      <c r="F170" t="str">
        <f t="shared" si="2"/>
        <v>OK</v>
      </c>
      <c r="G170" t="s">
        <v>18</v>
      </c>
      <c r="H170" s="1">
        <v>0.5</v>
      </c>
      <c r="I170" t="s">
        <v>55</v>
      </c>
      <c r="K170" t="s">
        <v>270</v>
      </c>
      <c r="M170" t="s">
        <v>270</v>
      </c>
      <c r="N170" t="s">
        <v>55</v>
      </c>
      <c r="O170" t="s">
        <v>270</v>
      </c>
      <c r="P170" t="s">
        <v>55</v>
      </c>
      <c r="R170" t="s">
        <v>696</v>
      </c>
      <c r="S170" t="b">
        <f>COUNTIF(D:D,R170)&gt;0</f>
        <v>1</v>
      </c>
    </row>
    <row r="171" spans="1:19" x14ac:dyDescent="0.2">
      <c r="A171" t="s">
        <v>478</v>
      </c>
      <c r="B171" t="s">
        <v>479</v>
      </c>
      <c r="C171" t="s">
        <v>536</v>
      </c>
      <c r="D171" t="s">
        <v>537</v>
      </c>
      <c r="E171" t="b">
        <f>COUNTIF(R:R,D171)&gt;0</f>
        <v>1</v>
      </c>
      <c r="F171" t="str">
        <f t="shared" si="2"/>
        <v>OK</v>
      </c>
      <c r="G171" t="s">
        <v>18</v>
      </c>
      <c r="H171" s="1">
        <v>0.51</v>
      </c>
      <c r="I171" t="s">
        <v>497</v>
      </c>
      <c r="K171" t="s">
        <v>270</v>
      </c>
      <c r="M171" t="s">
        <v>538</v>
      </c>
      <c r="O171" t="s">
        <v>539</v>
      </c>
      <c r="P171" t="s">
        <v>540</v>
      </c>
      <c r="R171" t="s">
        <v>688</v>
      </c>
      <c r="S171" t="b">
        <f>COUNTIF(D:D,R171)&gt;0</f>
        <v>1</v>
      </c>
    </row>
    <row r="172" spans="1:19" x14ac:dyDescent="0.2">
      <c r="A172" t="s">
        <v>478</v>
      </c>
      <c r="B172" t="s">
        <v>479</v>
      </c>
      <c r="C172" t="s">
        <v>536</v>
      </c>
      <c r="D172" t="s">
        <v>537</v>
      </c>
      <c r="E172" t="b">
        <f>COUNTIF(R:R,D172)&gt;0</f>
        <v>1</v>
      </c>
      <c r="F172" t="str">
        <f t="shared" si="2"/>
        <v>OK</v>
      </c>
      <c r="G172" t="s">
        <v>18</v>
      </c>
      <c r="H172" s="1">
        <v>0.51</v>
      </c>
      <c r="I172" t="s">
        <v>497</v>
      </c>
      <c r="K172" t="s">
        <v>270</v>
      </c>
      <c r="M172" t="s">
        <v>299</v>
      </c>
      <c r="O172" t="s">
        <v>541</v>
      </c>
      <c r="R172" t="s">
        <v>684</v>
      </c>
      <c r="S172" t="b">
        <f>COUNTIF(D:D,R172)&gt;0</f>
        <v>1</v>
      </c>
    </row>
    <row r="173" spans="1:19" x14ac:dyDescent="0.2">
      <c r="A173" t="s">
        <v>478</v>
      </c>
      <c r="B173" t="s">
        <v>479</v>
      </c>
      <c r="C173" t="s">
        <v>536</v>
      </c>
      <c r="D173" t="s">
        <v>537</v>
      </c>
      <c r="E173" t="b">
        <f>COUNTIF(R:R,D173)&gt;0</f>
        <v>1</v>
      </c>
      <c r="F173" t="str">
        <f t="shared" si="2"/>
        <v>OK</v>
      </c>
      <c r="G173" t="s">
        <v>18</v>
      </c>
      <c r="H173" s="1">
        <v>0.51</v>
      </c>
      <c r="I173" t="s">
        <v>497</v>
      </c>
      <c r="K173" t="s">
        <v>270</v>
      </c>
      <c r="M173" t="s">
        <v>542</v>
      </c>
      <c r="O173" t="s">
        <v>487</v>
      </c>
      <c r="R173" t="s">
        <v>681</v>
      </c>
      <c r="S173" t="b">
        <f>COUNTIF(D:D,R173)&gt;0</f>
        <v>1</v>
      </c>
    </row>
    <row r="174" spans="1:19" x14ac:dyDescent="0.2">
      <c r="A174" t="s">
        <v>478</v>
      </c>
      <c r="B174" t="s">
        <v>479</v>
      </c>
      <c r="C174" t="s">
        <v>543</v>
      </c>
      <c r="D174" t="s">
        <v>544</v>
      </c>
      <c r="E174" t="b">
        <f>COUNTIF(R:R,D174)&gt;0</f>
        <v>1</v>
      </c>
      <c r="F174" t="str">
        <f t="shared" si="2"/>
        <v>OK</v>
      </c>
      <c r="G174" t="s">
        <v>416</v>
      </c>
      <c r="H174" s="1">
        <v>0.15</v>
      </c>
      <c r="I174" t="s">
        <v>545</v>
      </c>
      <c r="K174" t="s">
        <v>546</v>
      </c>
      <c r="M174" t="s">
        <v>270</v>
      </c>
      <c r="N174" t="s">
        <v>55</v>
      </c>
      <c r="O174" t="s">
        <v>270</v>
      </c>
      <c r="P174" t="s">
        <v>55</v>
      </c>
      <c r="R174" t="s">
        <v>737</v>
      </c>
      <c r="S174" t="b">
        <f>COUNTIF(D:D,R174)&gt;0</f>
        <v>1</v>
      </c>
    </row>
    <row r="175" spans="1:19" x14ac:dyDescent="0.2">
      <c r="A175" t="s">
        <v>478</v>
      </c>
      <c r="B175" t="s">
        <v>547</v>
      </c>
      <c r="C175" t="s">
        <v>548</v>
      </c>
      <c r="D175" t="s">
        <v>549</v>
      </c>
      <c r="E175" t="b">
        <f>COUNTIF(R:R,D175)&gt;0</f>
        <v>1</v>
      </c>
      <c r="F175" t="str">
        <f t="shared" si="2"/>
        <v>OK</v>
      </c>
      <c r="G175" t="s">
        <v>18</v>
      </c>
      <c r="H175" s="1">
        <v>0.72</v>
      </c>
      <c r="I175" t="s">
        <v>291</v>
      </c>
      <c r="K175" t="s">
        <v>270</v>
      </c>
      <c r="M175" t="s">
        <v>270</v>
      </c>
      <c r="N175" t="s">
        <v>55</v>
      </c>
      <c r="O175" t="s">
        <v>270</v>
      </c>
      <c r="R175" t="s">
        <v>742</v>
      </c>
      <c r="S175" t="b">
        <f>COUNTIF(D:D,R175)&gt;0</f>
        <v>1</v>
      </c>
    </row>
    <row r="176" spans="1:19" x14ac:dyDescent="0.2">
      <c r="A176" t="s">
        <v>478</v>
      </c>
      <c r="B176" t="s">
        <v>547</v>
      </c>
      <c r="C176" t="s">
        <v>550</v>
      </c>
      <c r="D176" t="s">
        <v>551</v>
      </c>
      <c r="E176" t="b">
        <f>COUNTIF(R:R,D176)&gt;0</f>
        <v>0</v>
      </c>
      <c r="F176" t="str">
        <f t="shared" si="2"/>
        <v>OK</v>
      </c>
      <c r="G176" t="s">
        <v>18</v>
      </c>
      <c r="H176" s="1">
        <v>0.46</v>
      </c>
      <c r="I176" t="s">
        <v>238</v>
      </c>
      <c r="K176" t="s">
        <v>270</v>
      </c>
      <c r="M176" t="s">
        <v>552</v>
      </c>
      <c r="N176" t="s">
        <v>553</v>
      </c>
      <c r="R176" t="s">
        <v>749</v>
      </c>
      <c r="S176" t="b">
        <f>COUNTIF(D:D,R176)&gt;0</f>
        <v>1</v>
      </c>
    </row>
    <row r="177" spans="1:19" x14ac:dyDescent="0.2">
      <c r="A177" t="s">
        <v>478</v>
      </c>
      <c r="B177" t="s">
        <v>547</v>
      </c>
      <c r="C177" t="s">
        <v>554</v>
      </c>
      <c r="D177" t="s">
        <v>555</v>
      </c>
      <c r="E177" t="b">
        <f>COUNTIF(R:R,D177)&gt;0</f>
        <v>1</v>
      </c>
      <c r="F177" t="str">
        <f t="shared" si="2"/>
        <v>OK</v>
      </c>
      <c r="G177" t="s">
        <v>30</v>
      </c>
      <c r="H177" s="1">
        <v>0.45</v>
      </c>
      <c r="I177" t="s">
        <v>556</v>
      </c>
      <c r="K177" t="s">
        <v>270</v>
      </c>
      <c r="M177" t="s">
        <v>270</v>
      </c>
      <c r="N177" t="s">
        <v>557</v>
      </c>
      <c r="O177" t="s">
        <v>270</v>
      </c>
      <c r="R177" t="s">
        <v>745</v>
      </c>
      <c r="S177" t="b">
        <f>COUNTIF(D:D,R177)&gt;0</f>
        <v>1</v>
      </c>
    </row>
    <row r="178" spans="1:19" x14ac:dyDescent="0.2">
      <c r="A178" t="s">
        <v>478</v>
      </c>
      <c r="B178" t="s">
        <v>547</v>
      </c>
      <c r="C178" t="s">
        <v>558</v>
      </c>
      <c r="D178" t="s">
        <v>559</v>
      </c>
      <c r="E178" t="b">
        <f>COUNTIF(R:R,D178)&gt;0</f>
        <v>0</v>
      </c>
      <c r="F178" t="str">
        <f t="shared" si="2"/>
        <v>OK</v>
      </c>
      <c r="G178" t="s">
        <v>30</v>
      </c>
      <c r="R178" t="s">
        <v>1677</v>
      </c>
      <c r="S178" t="b">
        <f>COUNTIF(D:D,R178)&gt;0</f>
        <v>1</v>
      </c>
    </row>
    <row r="179" spans="1:19" x14ac:dyDescent="0.2">
      <c r="A179" t="s">
        <v>478</v>
      </c>
      <c r="B179" t="s">
        <v>547</v>
      </c>
      <c r="C179" t="s">
        <v>560</v>
      </c>
      <c r="D179" t="s">
        <v>561</v>
      </c>
      <c r="E179" t="b">
        <f>COUNTIF(R:R,D179)&gt;0</f>
        <v>1</v>
      </c>
      <c r="F179" t="str">
        <f t="shared" si="2"/>
        <v>OK</v>
      </c>
      <c r="G179" t="s">
        <v>30</v>
      </c>
      <c r="H179" s="1">
        <v>0.45</v>
      </c>
      <c r="I179" t="s">
        <v>511</v>
      </c>
      <c r="K179" t="s">
        <v>498</v>
      </c>
      <c r="M179" t="s">
        <v>488</v>
      </c>
      <c r="N179" t="s">
        <v>499</v>
      </c>
      <c r="O179" t="s">
        <v>270</v>
      </c>
      <c r="R179" t="s">
        <v>764</v>
      </c>
      <c r="S179" t="b">
        <f>COUNTIF(D:D,R179)&gt;0</f>
        <v>1</v>
      </c>
    </row>
    <row r="180" spans="1:19" x14ac:dyDescent="0.2">
      <c r="A180" t="s">
        <v>478</v>
      </c>
      <c r="B180" t="s">
        <v>547</v>
      </c>
      <c r="C180" t="s">
        <v>562</v>
      </c>
      <c r="D180" t="s">
        <v>563</v>
      </c>
      <c r="E180" t="b">
        <f>COUNTIF(R:R,D180)&gt;0</f>
        <v>0</v>
      </c>
      <c r="F180" t="str">
        <f t="shared" si="2"/>
        <v>OK</v>
      </c>
      <c r="G180" t="s">
        <v>18</v>
      </c>
      <c r="H180" s="1">
        <v>0.25</v>
      </c>
      <c r="I180" t="s">
        <v>564</v>
      </c>
      <c r="K180" t="s">
        <v>487</v>
      </c>
      <c r="M180" t="s">
        <v>488</v>
      </c>
      <c r="N180" t="s">
        <v>565</v>
      </c>
      <c r="O180" t="s">
        <v>270</v>
      </c>
      <c r="R180" t="s">
        <v>769</v>
      </c>
      <c r="S180" t="b">
        <f>COUNTIF(D:D,R180)&gt;0</f>
        <v>1</v>
      </c>
    </row>
    <row r="181" spans="1:19" x14ac:dyDescent="0.2">
      <c r="A181" t="s">
        <v>478</v>
      </c>
      <c r="B181" t="s">
        <v>547</v>
      </c>
      <c r="C181" t="s">
        <v>562</v>
      </c>
      <c r="D181" t="s">
        <v>563</v>
      </c>
      <c r="E181" t="b">
        <f>COUNTIF(R:R,D181)&gt;0</f>
        <v>0</v>
      </c>
      <c r="F181" t="str">
        <f t="shared" si="2"/>
        <v>OK</v>
      </c>
      <c r="G181" t="s">
        <v>18</v>
      </c>
      <c r="H181" s="1">
        <v>0.25</v>
      </c>
      <c r="I181" t="s">
        <v>564</v>
      </c>
      <c r="K181" t="s">
        <v>487</v>
      </c>
      <c r="M181" t="s">
        <v>566</v>
      </c>
      <c r="O181" t="s">
        <v>270</v>
      </c>
      <c r="R181" t="s">
        <v>776</v>
      </c>
      <c r="S181" t="b">
        <f>COUNTIF(D:D,R181)&gt;0</f>
        <v>1</v>
      </c>
    </row>
    <row r="182" spans="1:19" x14ac:dyDescent="0.2">
      <c r="A182" t="s">
        <v>478</v>
      </c>
      <c r="B182" t="s">
        <v>547</v>
      </c>
      <c r="C182" t="s">
        <v>567</v>
      </c>
      <c r="D182" t="s">
        <v>568</v>
      </c>
      <c r="E182" t="b">
        <f>COUNTIF(R:R,D182)&gt;0</f>
        <v>1</v>
      </c>
      <c r="F182" t="str">
        <f t="shared" si="2"/>
        <v>OK</v>
      </c>
      <c r="G182" t="s">
        <v>30</v>
      </c>
      <c r="H182" s="1">
        <v>0.43</v>
      </c>
      <c r="I182" t="s">
        <v>55</v>
      </c>
      <c r="K182" t="s">
        <v>270</v>
      </c>
      <c r="M182" t="s">
        <v>270</v>
      </c>
      <c r="O182" t="s">
        <v>270</v>
      </c>
      <c r="R182" t="s">
        <v>771</v>
      </c>
      <c r="S182" t="b">
        <f>COUNTIF(D:D,R182)&gt;0</f>
        <v>1</v>
      </c>
    </row>
    <row r="183" spans="1:19" x14ac:dyDescent="0.2">
      <c r="A183" t="s">
        <v>569</v>
      </c>
      <c r="B183" t="s">
        <v>570</v>
      </c>
      <c r="C183" t="s">
        <v>571</v>
      </c>
      <c r="D183" t="s">
        <v>572</v>
      </c>
      <c r="E183" t="b">
        <f>COUNTIF(R:R,D183)&gt;0</f>
        <v>1</v>
      </c>
      <c r="F183" t="str">
        <f t="shared" si="2"/>
        <v>OK</v>
      </c>
      <c r="G183" t="s">
        <v>30</v>
      </c>
      <c r="H183" s="1">
        <v>0.01</v>
      </c>
      <c r="I183" t="s">
        <v>573</v>
      </c>
      <c r="K183" t="s">
        <v>541</v>
      </c>
      <c r="M183" t="s">
        <v>541</v>
      </c>
      <c r="O183" t="s">
        <v>541</v>
      </c>
      <c r="R183" t="s">
        <v>1714</v>
      </c>
      <c r="S183" t="b">
        <f>COUNTIF(D:D,R183)&gt;0</f>
        <v>1</v>
      </c>
    </row>
    <row r="184" spans="1:19" x14ac:dyDescent="0.2">
      <c r="A184" t="s">
        <v>569</v>
      </c>
      <c r="B184" t="s">
        <v>574</v>
      </c>
      <c r="C184" t="s">
        <v>575</v>
      </c>
      <c r="D184" t="s">
        <v>576</v>
      </c>
      <c r="E184" t="b">
        <f>COUNTIF(R:R,D184)&gt;0</f>
        <v>1</v>
      </c>
      <c r="F184" t="str">
        <f t="shared" si="2"/>
        <v>OK</v>
      </c>
      <c r="G184" t="s">
        <v>30</v>
      </c>
      <c r="H184" s="1">
        <v>0.46</v>
      </c>
      <c r="I184" t="s">
        <v>577</v>
      </c>
      <c r="K184" t="s">
        <v>270</v>
      </c>
      <c r="M184" t="s">
        <v>270</v>
      </c>
      <c r="O184" t="s">
        <v>270</v>
      </c>
      <c r="R184" t="s">
        <v>773</v>
      </c>
      <c r="S184" t="b">
        <f>COUNTIF(D:D,R184)&gt;0</f>
        <v>1</v>
      </c>
    </row>
    <row r="185" spans="1:19" x14ac:dyDescent="0.2">
      <c r="A185" t="s">
        <v>569</v>
      </c>
      <c r="B185" t="s">
        <v>578</v>
      </c>
      <c r="C185" t="s">
        <v>579</v>
      </c>
      <c r="D185" t="s">
        <v>580</v>
      </c>
      <c r="E185" t="b">
        <f>COUNTIF(R:R,D185)&gt;0</f>
        <v>1</v>
      </c>
      <c r="F185" t="str">
        <f t="shared" si="2"/>
        <v>OK</v>
      </c>
      <c r="G185" t="s">
        <v>30</v>
      </c>
      <c r="H185" s="1">
        <v>0.38</v>
      </c>
      <c r="I185" t="s">
        <v>454</v>
      </c>
      <c r="K185" t="s">
        <v>146</v>
      </c>
      <c r="M185" t="s">
        <v>270</v>
      </c>
      <c r="N185" t="s">
        <v>146</v>
      </c>
      <c r="O185" t="s">
        <v>270</v>
      </c>
      <c r="R185" t="s">
        <v>1630</v>
      </c>
      <c r="S185" t="b">
        <f>COUNTIF(D:D,R185)&gt;0</f>
        <v>0</v>
      </c>
    </row>
    <row r="186" spans="1:19" x14ac:dyDescent="0.2">
      <c r="A186" t="s">
        <v>569</v>
      </c>
      <c r="B186" t="s">
        <v>578</v>
      </c>
      <c r="C186" t="s">
        <v>581</v>
      </c>
      <c r="D186" t="s">
        <v>582</v>
      </c>
      <c r="E186" t="b">
        <f>COUNTIF(R:R,D186)&gt;0</f>
        <v>1</v>
      </c>
      <c r="F186" t="str">
        <f t="shared" si="2"/>
        <v>OK</v>
      </c>
      <c r="G186" t="s">
        <v>30</v>
      </c>
      <c r="H186" s="1">
        <v>0.46</v>
      </c>
      <c r="I186" t="s">
        <v>583</v>
      </c>
      <c r="K186" t="s">
        <v>270</v>
      </c>
      <c r="M186" t="s">
        <v>270</v>
      </c>
      <c r="O186" t="s">
        <v>270</v>
      </c>
      <c r="R186" t="s">
        <v>778</v>
      </c>
      <c r="S186" t="b">
        <f>COUNTIF(D:D,R186)&gt;0</f>
        <v>1</v>
      </c>
    </row>
    <row r="187" spans="1:19" x14ac:dyDescent="0.2">
      <c r="A187" t="s">
        <v>569</v>
      </c>
      <c r="B187" t="s">
        <v>584</v>
      </c>
      <c r="C187" t="s">
        <v>585</v>
      </c>
      <c r="D187" t="s">
        <v>586</v>
      </c>
      <c r="E187" t="b">
        <f>COUNTIF(R:R,D187)&gt;0</f>
        <v>1</v>
      </c>
      <c r="F187" t="str">
        <f t="shared" si="2"/>
        <v>OK</v>
      </c>
      <c r="G187" t="s">
        <v>30</v>
      </c>
      <c r="H187" s="1">
        <v>0.38</v>
      </c>
      <c r="I187" t="s">
        <v>454</v>
      </c>
      <c r="K187" t="s">
        <v>146</v>
      </c>
      <c r="M187" t="s">
        <v>270</v>
      </c>
      <c r="N187" t="s">
        <v>146</v>
      </c>
      <c r="O187" t="s">
        <v>270</v>
      </c>
      <c r="R187" t="s">
        <v>782</v>
      </c>
      <c r="S187" t="b">
        <f>COUNTIF(D:D,R187)&gt;0</f>
        <v>1</v>
      </c>
    </row>
    <row r="188" spans="1:19" x14ac:dyDescent="0.2">
      <c r="A188" t="s">
        <v>569</v>
      </c>
      <c r="B188" t="s">
        <v>584</v>
      </c>
      <c r="C188" t="s">
        <v>587</v>
      </c>
      <c r="D188" t="s">
        <v>588</v>
      </c>
      <c r="E188" t="b">
        <f>COUNTIF(R:R,D188)&gt;0</f>
        <v>1</v>
      </c>
      <c r="F188" t="str">
        <f t="shared" si="2"/>
        <v>OK</v>
      </c>
      <c r="G188" t="s">
        <v>30</v>
      </c>
      <c r="H188" s="1">
        <v>0.46</v>
      </c>
      <c r="I188" t="s">
        <v>583</v>
      </c>
      <c r="K188" t="s">
        <v>270</v>
      </c>
      <c r="M188" t="s">
        <v>270</v>
      </c>
      <c r="O188" t="s">
        <v>270</v>
      </c>
      <c r="R188" t="s">
        <v>787</v>
      </c>
      <c r="S188" t="b">
        <f>COUNTIF(D:D,R188)&gt;0</f>
        <v>1</v>
      </c>
    </row>
    <row r="189" spans="1:19" x14ac:dyDescent="0.2">
      <c r="A189" t="s">
        <v>589</v>
      </c>
      <c r="B189" t="s">
        <v>578</v>
      </c>
      <c r="C189" t="s">
        <v>590</v>
      </c>
      <c r="D189" t="s">
        <v>591</v>
      </c>
      <c r="E189" t="b">
        <f>COUNTIF(R:R,D189)&gt;0</f>
        <v>1</v>
      </c>
      <c r="F189" t="str">
        <f t="shared" si="2"/>
        <v>OK</v>
      </c>
      <c r="G189" t="s">
        <v>30</v>
      </c>
      <c r="H189" s="1">
        <v>0.03</v>
      </c>
      <c r="I189" t="s">
        <v>592</v>
      </c>
      <c r="J189" t="s">
        <v>593</v>
      </c>
      <c r="K189" t="s">
        <v>594</v>
      </c>
      <c r="M189" t="s">
        <v>146</v>
      </c>
      <c r="O189" t="s">
        <v>146</v>
      </c>
      <c r="R189" t="s">
        <v>785</v>
      </c>
      <c r="S189" t="b">
        <f>COUNTIF(D:D,R189)&gt;0</f>
        <v>1</v>
      </c>
    </row>
    <row r="190" spans="1:19" x14ac:dyDescent="0.2">
      <c r="A190" t="s">
        <v>589</v>
      </c>
      <c r="B190" t="s">
        <v>570</v>
      </c>
      <c r="C190" t="s">
        <v>595</v>
      </c>
      <c r="D190" t="s">
        <v>596</v>
      </c>
      <c r="E190" t="b">
        <f>COUNTIF(R:R,D190)&gt;0</f>
        <v>1</v>
      </c>
      <c r="F190" t="str">
        <f t="shared" si="2"/>
        <v>OK</v>
      </c>
      <c r="G190" t="s">
        <v>30</v>
      </c>
      <c r="H190" s="1">
        <v>0.03</v>
      </c>
      <c r="I190" t="s">
        <v>592</v>
      </c>
      <c r="J190" t="s">
        <v>593</v>
      </c>
      <c r="K190" t="s">
        <v>594</v>
      </c>
      <c r="M190" t="s">
        <v>146</v>
      </c>
      <c r="O190" t="s">
        <v>146</v>
      </c>
      <c r="R190" t="s">
        <v>792</v>
      </c>
      <c r="S190" t="b">
        <f>COUNTIF(D:D,R190)&gt;0</f>
        <v>1</v>
      </c>
    </row>
    <row r="191" spans="1:19" x14ac:dyDescent="0.2">
      <c r="A191" t="s">
        <v>589</v>
      </c>
      <c r="B191" t="s">
        <v>578</v>
      </c>
      <c r="C191" t="s">
        <v>597</v>
      </c>
      <c r="D191" t="s">
        <v>598</v>
      </c>
      <c r="E191" t="b">
        <f>COUNTIF(R:R,D191)&gt;0</f>
        <v>1</v>
      </c>
      <c r="F191" t="str">
        <f t="shared" si="2"/>
        <v>OK</v>
      </c>
      <c r="G191" t="s">
        <v>30</v>
      </c>
      <c r="H191" s="1">
        <v>0.49</v>
      </c>
      <c r="I191" t="s">
        <v>238</v>
      </c>
      <c r="J191" t="s">
        <v>55</v>
      </c>
      <c r="K191" t="s">
        <v>599</v>
      </c>
      <c r="M191" t="s">
        <v>270</v>
      </c>
      <c r="O191" t="s">
        <v>270</v>
      </c>
      <c r="R191" t="s">
        <v>794</v>
      </c>
      <c r="S191" t="b">
        <f>COUNTIF(D:D,R191)&gt;0</f>
        <v>1</v>
      </c>
    </row>
    <row r="192" spans="1:19" x14ac:dyDescent="0.2">
      <c r="A192" t="s">
        <v>589</v>
      </c>
      <c r="B192" t="s">
        <v>578</v>
      </c>
      <c r="C192" t="s">
        <v>600</v>
      </c>
      <c r="D192" t="s">
        <v>601</v>
      </c>
      <c r="E192" t="b">
        <f>COUNTIF(R:R,D192)&gt;0</f>
        <v>1</v>
      </c>
      <c r="F192" t="str">
        <f t="shared" si="2"/>
        <v>OK</v>
      </c>
      <c r="G192" t="s">
        <v>30</v>
      </c>
      <c r="H192" s="1">
        <v>0.49</v>
      </c>
      <c r="I192" t="s">
        <v>238</v>
      </c>
      <c r="J192" t="s">
        <v>55</v>
      </c>
      <c r="K192" t="s">
        <v>602</v>
      </c>
      <c r="M192" t="s">
        <v>146</v>
      </c>
      <c r="O192" t="s">
        <v>270</v>
      </c>
      <c r="R192" t="s">
        <v>799</v>
      </c>
      <c r="S192" t="b">
        <f>COUNTIF(D:D,R192)&gt;0</f>
        <v>1</v>
      </c>
    </row>
    <row r="193" spans="1:19" x14ac:dyDescent="0.2">
      <c r="A193" t="s">
        <v>589</v>
      </c>
      <c r="B193" t="s">
        <v>570</v>
      </c>
      <c r="C193" t="s">
        <v>603</v>
      </c>
      <c r="D193" t="s">
        <v>604</v>
      </c>
      <c r="E193" t="b">
        <f>COUNTIF(R:R,D193)&gt;0</f>
        <v>1</v>
      </c>
      <c r="F193" t="str">
        <f t="shared" si="2"/>
        <v>OK</v>
      </c>
      <c r="G193" t="s">
        <v>30</v>
      </c>
      <c r="H193" s="1">
        <v>0.49</v>
      </c>
      <c r="I193" t="s">
        <v>238</v>
      </c>
      <c r="J193" t="s">
        <v>55</v>
      </c>
      <c r="K193" t="s">
        <v>602</v>
      </c>
      <c r="M193" t="s">
        <v>146</v>
      </c>
      <c r="O193" t="s">
        <v>270</v>
      </c>
      <c r="R193" t="s">
        <v>803</v>
      </c>
      <c r="S193" t="b">
        <f>COUNTIF(D:D,R193)&gt;0</f>
        <v>1</v>
      </c>
    </row>
    <row r="194" spans="1:19" x14ac:dyDescent="0.2">
      <c r="A194" t="s">
        <v>589</v>
      </c>
      <c r="B194" t="s">
        <v>584</v>
      </c>
      <c r="C194" t="s">
        <v>605</v>
      </c>
      <c r="D194" t="s">
        <v>606</v>
      </c>
      <c r="E194" t="b">
        <f>COUNTIF(R:R,D194)&gt;0</f>
        <v>1</v>
      </c>
      <c r="F194" t="str">
        <f t="shared" si="2"/>
        <v>OK</v>
      </c>
      <c r="G194" t="s">
        <v>30</v>
      </c>
      <c r="H194" s="1">
        <v>0.49</v>
      </c>
      <c r="I194" t="s">
        <v>238</v>
      </c>
      <c r="J194" t="s">
        <v>55</v>
      </c>
      <c r="K194" t="s">
        <v>607</v>
      </c>
      <c r="M194" t="s">
        <v>270</v>
      </c>
      <c r="O194" t="s">
        <v>270</v>
      </c>
      <c r="R194" t="s">
        <v>1172</v>
      </c>
      <c r="S194" t="b">
        <f>COUNTIF(D:D,R194)&gt;0</f>
        <v>1</v>
      </c>
    </row>
    <row r="195" spans="1:19" x14ac:dyDescent="0.2">
      <c r="A195" t="s">
        <v>589</v>
      </c>
      <c r="B195" t="s">
        <v>574</v>
      </c>
      <c r="C195" t="s">
        <v>608</v>
      </c>
      <c r="D195" t="s">
        <v>609</v>
      </c>
      <c r="E195" t="b">
        <f>COUNTIF(R:R,D195)&gt;0</f>
        <v>1</v>
      </c>
      <c r="F195" t="str">
        <f t="shared" ref="F195:F258" si="3">IF(COUNTIF(C195,"*hybrid*")&gt;0,
     IF(COUNTIF(D195,"*hybrid*")&gt;0,"OK","Mismatch"),
     "OK")</f>
        <v>OK</v>
      </c>
      <c r="G195" t="s">
        <v>30</v>
      </c>
      <c r="H195" s="1">
        <v>0.49</v>
      </c>
      <c r="I195" t="s">
        <v>238</v>
      </c>
      <c r="J195" t="s">
        <v>55</v>
      </c>
      <c r="K195" t="s">
        <v>607</v>
      </c>
      <c r="M195" t="s">
        <v>270</v>
      </c>
      <c r="O195" t="s">
        <v>270</v>
      </c>
      <c r="R195" t="s">
        <v>1175</v>
      </c>
      <c r="S195" t="b">
        <f>COUNTIF(D:D,R195)&gt;0</f>
        <v>1</v>
      </c>
    </row>
    <row r="196" spans="1:19" x14ac:dyDescent="0.2">
      <c r="A196" t="s">
        <v>589</v>
      </c>
      <c r="B196" t="s">
        <v>574</v>
      </c>
      <c r="C196" t="s">
        <v>610</v>
      </c>
      <c r="D196" t="s">
        <v>611</v>
      </c>
      <c r="E196" t="b">
        <f>COUNTIF(R:R,D196)&gt;0</f>
        <v>1</v>
      </c>
      <c r="F196" t="str">
        <f t="shared" si="3"/>
        <v>OK</v>
      </c>
      <c r="G196" t="s">
        <v>30</v>
      </c>
      <c r="H196" s="1">
        <v>0.49</v>
      </c>
      <c r="I196" t="s">
        <v>238</v>
      </c>
      <c r="J196" t="s">
        <v>55</v>
      </c>
      <c r="K196" t="s">
        <v>607</v>
      </c>
      <c r="M196" t="s">
        <v>270</v>
      </c>
      <c r="O196" t="s">
        <v>270</v>
      </c>
      <c r="R196" t="s">
        <v>1166</v>
      </c>
      <c r="S196" t="b">
        <f>COUNTIF(D:D,R196)&gt;0</f>
        <v>1</v>
      </c>
    </row>
    <row r="197" spans="1:19" x14ac:dyDescent="0.2">
      <c r="A197" t="s">
        <v>589</v>
      </c>
      <c r="B197" t="s">
        <v>578</v>
      </c>
      <c r="C197" t="s">
        <v>612</v>
      </c>
      <c r="D197" t="s">
        <v>613</v>
      </c>
      <c r="E197" t="b">
        <f>COUNTIF(R:R,D197)&gt;0</f>
        <v>1</v>
      </c>
      <c r="F197" t="str">
        <f t="shared" si="3"/>
        <v>OK</v>
      </c>
      <c r="G197" t="s">
        <v>18</v>
      </c>
      <c r="H197" s="1">
        <v>0.46</v>
      </c>
      <c r="I197" t="s">
        <v>446</v>
      </c>
      <c r="J197" t="s">
        <v>55</v>
      </c>
      <c r="K197" t="s">
        <v>614</v>
      </c>
      <c r="M197" t="s">
        <v>270</v>
      </c>
      <c r="N197" t="s">
        <v>55</v>
      </c>
      <c r="O197" t="s">
        <v>270</v>
      </c>
      <c r="P197" t="s">
        <v>146</v>
      </c>
      <c r="R197" t="s">
        <v>1168</v>
      </c>
      <c r="S197" t="b">
        <f>COUNTIF(D:D,R197)&gt;0</f>
        <v>1</v>
      </c>
    </row>
    <row r="198" spans="1:19" x14ac:dyDescent="0.2">
      <c r="A198" t="s">
        <v>589</v>
      </c>
      <c r="B198" t="s">
        <v>574</v>
      </c>
      <c r="C198" t="s">
        <v>615</v>
      </c>
      <c r="D198" t="s">
        <v>616</v>
      </c>
      <c r="E198" t="b">
        <f>COUNTIF(R:R,D198)&gt;0</f>
        <v>1</v>
      </c>
      <c r="F198" t="str">
        <f t="shared" si="3"/>
        <v>OK</v>
      </c>
      <c r="G198" t="s">
        <v>30</v>
      </c>
      <c r="H198" s="1">
        <v>0.46</v>
      </c>
      <c r="I198" t="s">
        <v>446</v>
      </c>
      <c r="J198" t="s">
        <v>55</v>
      </c>
      <c r="K198" t="s">
        <v>614</v>
      </c>
      <c r="M198" t="s">
        <v>270</v>
      </c>
      <c r="O198" t="s">
        <v>270</v>
      </c>
      <c r="R198" t="s">
        <v>1177</v>
      </c>
      <c r="S198" t="b">
        <f>COUNTIF(D:D,R198)&gt;0</f>
        <v>1</v>
      </c>
    </row>
    <row r="199" spans="1:19" x14ac:dyDescent="0.2">
      <c r="A199" t="s">
        <v>589</v>
      </c>
      <c r="B199" t="s">
        <v>570</v>
      </c>
      <c r="C199" t="s">
        <v>617</v>
      </c>
      <c r="D199" t="s">
        <v>618</v>
      </c>
      <c r="E199" t="b">
        <f>COUNTIF(R:R,D199)&gt;0</f>
        <v>0</v>
      </c>
      <c r="F199" t="str">
        <f t="shared" si="3"/>
        <v>OK</v>
      </c>
      <c r="G199" t="s">
        <v>18</v>
      </c>
      <c r="H199" s="1">
        <v>0.21</v>
      </c>
      <c r="I199" t="s">
        <v>619</v>
      </c>
      <c r="J199" t="s">
        <v>620</v>
      </c>
      <c r="K199" t="s">
        <v>621</v>
      </c>
      <c r="M199" t="s">
        <v>270</v>
      </c>
      <c r="O199" t="s">
        <v>236</v>
      </c>
      <c r="P199" t="s">
        <v>146</v>
      </c>
      <c r="R199" t="s">
        <v>1182</v>
      </c>
      <c r="S199" t="b">
        <f>COUNTIF(D:D,R199)&gt;0</f>
        <v>1</v>
      </c>
    </row>
    <row r="200" spans="1:19" x14ac:dyDescent="0.2">
      <c r="A200" t="s">
        <v>589</v>
      </c>
      <c r="B200" t="s">
        <v>570</v>
      </c>
      <c r="C200" t="s">
        <v>622</v>
      </c>
      <c r="D200" t="s">
        <v>596</v>
      </c>
      <c r="E200" t="b">
        <f>COUNTIF(R:R,D200)&gt;0</f>
        <v>1</v>
      </c>
      <c r="F200" t="str">
        <f t="shared" si="3"/>
        <v>OK</v>
      </c>
      <c r="G200" t="s">
        <v>30</v>
      </c>
      <c r="H200" s="1">
        <v>0.04</v>
      </c>
      <c r="I200" t="s">
        <v>623</v>
      </c>
      <c r="J200" t="s">
        <v>55</v>
      </c>
      <c r="K200" t="s">
        <v>624</v>
      </c>
      <c r="M200" t="s">
        <v>252</v>
      </c>
      <c r="O200" t="s">
        <v>594</v>
      </c>
      <c r="R200" t="s">
        <v>899</v>
      </c>
      <c r="S200" t="b">
        <f>COUNTIF(D:D,R200)&gt;0</f>
        <v>1</v>
      </c>
    </row>
    <row r="201" spans="1:19" x14ac:dyDescent="0.2">
      <c r="A201" t="s">
        <v>589</v>
      </c>
      <c r="B201" t="s">
        <v>578</v>
      </c>
      <c r="C201" t="s">
        <v>625</v>
      </c>
      <c r="D201" t="s">
        <v>626</v>
      </c>
      <c r="E201" t="b">
        <f>COUNTIF(R:R,D201)&gt;0</f>
        <v>1</v>
      </c>
      <c r="F201" t="str">
        <f t="shared" si="3"/>
        <v>OK</v>
      </c>
      <c r="G201" t="s">
        <v>30</v>
      </c>
      <c r="H201" s="1">
        <v>0.04</v>
      </c>
      <c r="I201" t="s">
        <v>627</v>
      </c>
      <c r="J201" t="s">
        <v>55</v>
      </c>
      <c r="K201" t="s">
        <v>624</v>
      </c>
      <c r="M201" t="s">
        <v>252</v>
      </c>
      <c r="O201" t="s">
        <v>594</v>
      </c>
      <c r="R201" t="s">
        <v>807</v>
      </c>
      <c r="S201" t="b">
        <f>COUNTIF(D:D,R201)&gt;0</f>
        <v>1</v>
      </c>
    </row>
    <row r="202" spans="1:19" x14ac:dyDescent="0.2">
      <c r="A202" t="s">
        <v>589</v>
      </c>
      <c r="B202" t="s">
        <v>578</v>
      </c>
      <c r="C202" t="s">
        <v>628</v>
      </c>
      <c r="D202" t="s">
        <v>629</v>
      </c>
      <c r="E202" t="b">
        <f>COUNTIF(R:R,D202)&gt;0</f>
        <v>0</v>
      </c>
      <c r="F202" t="str">
        <f t="shared" si="3"/>
        <v>OK</v>
      </c>
      <c r="G202" t="s">
        <v>18</v>
      </c>
      <c r="H202" s="1">
        <v>0.41</v>
      </c>
      <c r="I202" t="s">
        <v>630</v>
      </c>
      <c r="J202" t="s">
        <v>55</v>
      </c>
      <c r="K202" t="s">
        <v>631</v>
      </c>
      <c r="M202" t="s">
        <v>252</v>
      </c>
      <c r="O202" t="s">
        <v>270</v>
      </c>
      <c r="R202" t="s">
        <v>813</v>
      </c>
      <c r="S202" t="b">
        <f>COUNTIF(D:D,R202)&gt;0</f>
        <v>1</v>
      </c>
    </row>
    <row r="203" spans="1:19" x14ac:dyDescent="0.2">
      <c r="A203" t="s">
        <v>589</v>
      </c>
      <c r="B203" t="s">
        <v>578</v>
      </c>
      <c r="C203" t="s">
        <v>632</v>
      </c>
      <c r="D203" t="s">
        <v>633</v>
      </c>
      <c r="E203" t="b">
        <f>COUNTIF(R:R,D203)&gt;0</f>
        <v>1</v>
      </c>
      <c r="F203" t="str">
        <f t="shared" si="3"/>
        <v>OK</v>
      </c>
      <c r="G203" t="s">
        <v>18</v>
      </c>
      <c r="H203" s="1">
        <v>0.01</v>
      </c>
      <c r="I203" t="s">
        <v>634</v>
      </c>
      <c r="J203" t="s">
        <v>55</v>
      </c>
      <c r="K203" t="s">
        <v>635</v>
      </c>
      <c r="M203" t="s">
        <v>252</v>
      </c>
      <c r="O203" t="s">
        <v>594</v>
      </c>
      <c r="P203" t="s">
        <v>55</v>
      </c>
      <c r="R203" t="s">
        <v>1665</v>
      </c>
      <c r="S203" t="b">
        <f>COUNTIF(D:D,R203)&gt;0</f>
        <v>1</v>
      </c>
    </row>
    <row r="204" spans="1:19" x14ac:dyDescent="0.2">
      <c r="A204" t="s">
        <v>589</v>
      </c>
      <c r="B204" t="s">
        <v>578</v>
      </c>
      <c r="C204" t="s">
        <v>636</v>
      </c>
      <c r="D204" t="s">
        <v>637</v>
      </c>
      <c r="E204" t="b">
        <f>COUNTIF(R:R,D204)&gt;0</f>
        <v>1</v>
      </c>
      <c r="F204" t="str">
        <f t="shared" si="3"/>
        <v>OK</v>
      </c>
      <c r="G204" t="s">
        <v>638</v>
      </c>
      <c r="H204" s="1">
        <v>0.6</v>
      </c>
      <c r="I204" t="s">
        <v>370</v>
      </c>
      <c r="J204" t="s">
        <v>55</v>
      </c>
      <c r="K204" t="s">
        <v>639</v>
      </c>
      <c r="M204" t="s">
        <v>270</v>
      </c>
      <c r="N204" t="s">
        <v>640</v>
      </c>
      <c r="O204" t="s">
        <v>270</v>
      </c>
      <c r="R204" t="s">
        <v>842</v>
      </c>
      <c r="S204" t="b">
        <f>COUNTIF(D:D,R204)&gt;0</f>
        <v>1</v>
      </c>
    </row>
    <row r="205" spans="1:19" x14ac:dyDescent="0.2">
      <c r="A205" t="s">
        <v>589</v>
      </c>
      <c r="B205" t="s">
        <v>584</v>
      </c>
      <c r="C205" t="s">
        <v>641</v>
      </c>
      <c r="D205" t="s">
        <v>642</v>
      </c>
      <c r="E205" t="b">
        <f>COUNTIF(R:R,D205)&gt;0</f>
        <v>1</v>
      </c>
      <c r="F205" t="str">
        <f t="shared" si="3"/>
        <v>OK</v>
      </c>
      <c r="G205" t="s">
        <v>638</v>
      </c>
      <c r="H205" s="1">
        <v>0.6</v>
      </c>
      <c r="I205" t="s">
        <v>370</v>
      </c>
      <c r="J205" t="s">
        <v>55</v>
      </c>
      <c r="K205" t="s">
        <v>639</v>
      </c>
      <c r="M205" t="s">
        <v>270</v>
      </c>
      <c r="N205" t="s">
        <v>640</v>
      </c>
      <c r="O205" t="s">
        <v>270</v>
      </c>
      <c r="R205" t="s">
        <v>406</v>
      </c>
      <c r="S205" t="b">
        <f>COUNTIF(D:D,R205)&gt;0</f>
        <v>1</v>
      </c>
    </row>
    <row r="206" spans="1:19" x14ac:dyDescent="0.2">
      <c r="A206" t="s">
        <v>589</v>
      </c>
      <c r="B206" t="s">
        <v>578</v>
      </c>
      <c r="C206" t="s">
        <v>643</v>
      </c>
      <c r="D206" t="s">
        <v>644</v>
      </c>
      <c r="E206" t="b">
        <f>COUNTIF(R:R,D206)&gt;0</f>
        <v>1</v>
      </c>
      <c r="F206" t="str">
        <f t="shared" si="3"/>
        <v>OK</v>
      </c>
      <c r="G206" t="s">
        <v>18</v>
      </c>
      <c r="H206" s="1">
        <v>0.56999999999999995</v>
      </c>
      <c r="I206" t="s">
        <v>439</v>
      </c>
      <c r="J206" t="s">
        <v>55</v>
      </c>
      <c r="K206" t="s">
        <v>602</v>
      </c>
      <c r="M206" t="s">
        <v>270</v>
      </c>
      <c r="O206" t="s">
        <v>270</v>
      </c>
      <c r="P206" t="s">
        <v>146</v>
      </c>
      <c r="R206" t="s">
        <v>410</v>
      </c>
      <c r="S206" t="b">
        <f>COUNTIF(D:D,R206)&gt;0</f>
        <v>1</v>
      </c>
    </row>
    <row r="207" spans="1:19" x14ac:dyDescent="0.2">
      <c r="A207" t="s">
        <v>589</v>
      </c>
      <c r="B207" t="s">
        <v>578</v>
      </c>
      <c r="C207" t="s">
        <v>645</v>
      </c>
      <c r="D207" t="s">
        <v>646</v>
      </c>
      <c r="E207" t="b">
        <f>COUNTIF(R:R,D207)&gt;0</f>
        <v>1</v>
      </c>
      <c r="F207" t="str">
        <f t="shared" si="3"/>
        <v>OK</v>
      </c>
      <c r="G207" t="s">
        <v>18</v>
      </c>
      <c r="H207" s="1">
        <v>0.24</v>
      </c>
      <c r="I207" t="s">
        <v>647</v>
      </c>
      <c r="J207" t="s">
        <v>55</v>
      </c>
      <c r="K207" t="s">
        <v>631</v>
      </c>
      <c r="M207" t="s">
        <v>594</v>
      </c>
      <c r="O207" t="s">
        <v>594</v>
      </c>
      <c r="R207" t="s">
        <v>415</v>
      </c>
      <c r="S207" t="b">
        <f>COUNTIF(D:D,R207)&gt;0</f>
        <v>1</v>
      </c>
    </row>
    <row r="208" spans="1:19" x14ac:dyDescent="0.2">
      <c r="A208" t="s">
        <v>589</v>
      </c>
      <c r="B208" t="s">
        <v>578</v>
      </c>
      <c r="C208" t="s">
        <v>648</v>
      </c>
      <c r="D208" t="s">
        <v>649</v>
      </c>
      <c r="E208" t="b">
        <f>COUNTIF(R:R,D208)&gt;0</f>
        <v>1</v>
      </c>
      <c r="F208" t="str">
        <f t="shared" si="3"/>
        <v>OK</v>
      </c>
      <c r="G208" t="s">
        <v>638</v>
      </c>
      <c r="H208" s="1">
        <v>0.46</v>
      </c>
      <c r="I208" t="s">
        <v>650</v>
      </c>
      <c r="J208" t="s">
        <v>55</v>
      </c>
      <c r="K208" t="s">
        <v>651</v>
      </c>
      <c r="L208" t="s">
        <v>652</v>
      </c>
      <c r="M208" t="s">
        <v>270</v>
      </c>
      <c r="O208" t="s">
        <v>270</v>
      </c>
      <c r="R208" t="s">
        <v>422</v>
      </c>
      <c r="S208" t="b">
        <f>COUNTIF(D:D,R208)&gt;0</f>
        <v>1</v>
      </c>
    </row>
    <row r="209" spans="1:19" x14ac:dyDescent="0.2">
      <c r="A209" t="s">
        <v>589</v>
      </c>
      <c r="B209" t="s">
        <v>584</v>
      </c>
      <c r="C209" t="s">
        <v>653</v>
      </c>
      <c r="D209" t="s">
        <v>654</v>
      </c>
      <c r="E209" t="b">
        <f>COUNTIF(R:R,D209)&gt;0</f>
        <v>1</v>
      </c>
      <c r="F209" t="str">
        <f t="shared" si="3"/>
        <v>OK</v>
      </c>
      <c r="G209" t="s">
        <v>638</v>
      </c>
      <c r="H209" s="1">
        <v>0.46</v>
      </c>
      <c r="I209" t="s">
        <v>650</v>
      </c>
      <c r="J209" t="s">
        <v>55</v>
      </c>
      <c r="K209" t="s">
        <v>651</v>
      </c>
      <c r="L209" t="s">
        <v>652</v>
      </c>
      <c r="M209" t="s">
        <v>270</v>
      </c>
      <c r="O209" t="s">
        <v>270</v>
      </c>
      <c r="R209" t="s">
        <v>1686</v>
      </c>
      <c r="S209" t="b">
        <f>COUNTIF(D:D,R209)&gt;0</f>
        <v>0</v>
      </c>
    </row>
    <row r="210" spans="1:19" x14ac:dyDescent="0.2">
      <c r="A210" t="s">
        <v>589</v>
      </c>
      <c r="B210" t="s">
        <v>574</v>
      </c>
      <c r="C210" t="s">
        <v>655</v>
      </c>
      <c r="D210" t="s">
        <v>656</v>
      </c>
      <c r="E210" t="b">
        <f>COUNTIF(R:R,D210)&gt;0</f>
        <v>0</v>
      </c>
      <c r="F210" t="str">
        <f t="shared" si="3"/>
        <v>OK</v>
      </c>
      <c r="G210" t="s">
        <v>18</v>
      </c>
      <c r="H210" s="1">
        <v>0.42</v>
      </c>
      <c r="I210" t="s">
        <v>657</v>
      </c>
      <c r="J210" t="s">
        <v>658</v>
      </c>
      <c r="K210" t="s">
        <v>659</v>
      </c>
      <c r="M210" t="s">
        <v>270</v>
      </c>
      <c r="O210" t="s">
        <v>270</v>
      </c>
      <c r="P210" t="s">
        <v>146</v>
      </c>
      <c r="R210" t="s">
        <v>430</v>
      </c>
      <c r="S210" t="b">
        <f>COUNTIF(D:D,R210)&gt;0</f>
        <v>1</v>
      </c>
    </row>
    <row r="211" spans="1:19" x14ac:dyDescent="0.2">
      <c r="A211" t="s">
        <v>589</v>
      </c>
      <c r="B211" t="s">
        <v>578</v>
      </c>
      <c r="C211" t="s">
        <v>660</v>
      </c>
      <c r="D211" t="s">
        <v>661</v>
      </c>
      <c r="E211" t="b">
        <f>COUNTIF(R:R,D211)&gt;0</f>
        <v>0</v>
      </c>
      <c r="F211" t="str">
        <f t="shared" si="3"/>
        <v>OK</v>
      </c>
      <c r="G211" t="s">
        <v>18</v>
      </c>
      <c r="H211" s="1">
        <v>0.53</v>
      </c>
      <c r="I211" t="s">
        <v>662</v>
      </c>
      <c r="J211" t="s">
        <v>55</v>
      </c>
      <c r="K211" t="s">
        <v>659</v>
      </c>
      <c r="L211" t="s">
        <v>663</v>
      </c>
      <c r="M211" t="s">
        <v>146</v>
      </c>
      <c r="O211" t="s">
        <v>270</v>
      </c>
      <c r="R211" t="s">
        <v>433</v>
      </c>
      <c r="S211" t="b">
        <f>COUNTIF(D:D,R211)&gt;0</f>
        <v>1</v>
      </c>
    </row>
    <row r="212" spans="1:19" x14ac:dyDescent="0.2">
      <c r="A212" t="s">
        <v>589</v>
      </c>
      <c r="B212" t="s">
        <v>574</v>
      </c>
      <c r="C212" t="s">
        <v>664</v>
      </c>
      <c r="D212" t="s">
        <v>665</v>
      </c>
      <c r="E212" t="b">
        <f>COUNTIF(R:R,D212)&gt;0</f>
        <v>1</v>
      </c>
      <c r="F212" t="str">
        <f t="shared" si="3"/>
        <v>OK</v>
      </c>
      <c r="G212" t="s">
        <v>18</v>
      </c>
      <c r="H212" s="1">
        <v>0.49</v>
      </c>
      <c r="I212" t="s">
        <v>666</v>
      </c>
      <c r="J212" t="s">
        <v>55</v>
      </c>
      <c r="K212" t="s">
        <v>602</v>
      </c>
      <c r="M212" t="s">
        <v>270</v>
      </c>
      <c r="O212" t="s">
        <v>270</v>
      </c>
      <c r="R212" t="s">
        <v>1640</v>
      </c>
      <c r="S212" t="b">
        <f>COUNTIF(D:D,R212)&gt;0</f>
        <v>0</v>
      </c>
    </row>
    <row r="213" spans="1:19" x14ac:dyDescent="0.2">
      <c r="A213" t="s">
        <v>589</v>
      </c>
      <c r="B213" t="s">
        <v>574</v>
      </c>
      <c r="C213" t="s">
        <v>667</v>
      </c>
      <c r="D213" t="s">
        <v>668</v>
      </c>
      <c r="E213" t="b">
        <f>COUNTIF(R:R,D213)&gt;0</f>
        <v>1</v>
      </c>
      <c r="F213" t="str">
        <f t="shared" si="3"/>
        <v>OK</v>
      </c>
      <c r="G213" t="s">
        <v>18</v>
      </c>
      <c r="H213" s="1">
        <v>0.49</v>
      </c>
      <c r="I213" t="s">
        <v>666</v>
      </c>
      <c r="J213" t="s">
        <v>55</v>
      </c>
      <c r="K213" t="s">
        <v>602</v>
      </c>
      <c r="M213" t="s">
        <v>270</v>
      </c>
      <c r="O213" t="s">
        <v>270</v>
      </c>
      <c r="R213" t="s">
        <v>438</v>
      </c>
      <c r="S213" t="b">
        <f>COUNTIF(D:D,R213)&gt;0</f>
        <v>1</v>
      </c>
    </row>
    <row r="214" spans="1:19" x14ac:dyDescent="0.2">
      <c r="A214" t="s">
        <v>589</v>
      </c>
      <c r="B214" t="s">
        <v>578</v>
      </c>
      <c r="C214" t="s">
        <v>669</v>
      </c>
      <c r="D214" t="s">
        <v>670</v>
      </c>
      <c r="E214" t="b">
        <f>COUNTIF(R:R,D214)&gt;0</f>
        <v>1</v>
      </c>
      <c r="F214" t="str">
        <f t="shared" si="3"/>
        <v>OK</v>
      </c>
      <c r="G214" t="s">
        <v>18</v>
      </c>
      <c r="H214" s="1">
        <v>0.72</v>
      </c>
      <c r="I214" t="s">
        <v>55</v>
      </c>
      <c r="J214" t="s">
        <v>55</v>
      </c>
      <c r="K214" t="s">
        <v>671</v>
      </c>
      <c r="M214" t="s">
        <v>270</v>
      </c>
      <c r="O214" t="s">
        <v>270</v>
      </c>
      <c r="R214" t="s">
        <v>1668</v>
      </c>
      <c r="S214" t="b">
        <f>COUNTIF(D:D,R214)&gt;0</f>
        <v>0</v>
      </c>
    </row>
    <row r="215" spans="1:19" x14ac:dyDescent="0.2">
      <c r="A215" t="s">
        <v>672</v>
      </c>
      <c r="B215" t="s">
        <v>673</v>
      </c>
      <c r="C215" t="s">
        <v>674</v>
      </c>
      <c r="D215" t="s">
        <v>675</v>
      </c>
      <c r="E215" t="b">
        <f>COUNTIF(R:R,D215)&gt;0</f>
        <v>1</v>
      </c>
      <c r="F215" t="str">
        <f t="shared" si="3"/>
        <v>OK</v>
      </c>
      <c r="G215" t="s">
        <v>30</v>
      </c>
      <c r="H215" s="1">
        <v>0.6</v>
      </c>
      <c r="K215" t="s">
        <v>270</v>
      </c>
      <c r="M215" t="s">
        <v>270</v>
      </c>
      <c r="O215" t="s">
        <v>270</v>
      </c>
      <c r="R215" t="s">
        <v>1672</v>
      </c>
      <c r="S215" t="b">
        <f>COUNTIF(D:D,R215)&gt;0</f>
        <v>0</v>
      </c>
    </row>
    <row r="216" spans="1:19" x14ac:dyDescent="0.2">
      <c r="A216" t="s">
        <v>672</v>
      </c>
      <c r="B216" t="s">
        <v>673</v>
      </c>
      <c r="C216" t="s">
        <v>676</v>
      </c>
      <c r="D216" t="s">
        <v>675</v>
      </c>
      <c r="E216" t="b">
        <f>COUNTIF(R:R,D216)&gt;0</f>
        <v>1</v>
      </c>
      <c r="F216" t="str">
        <f t="shared" si="3"/>
        <v>OK</v>
      </c>
      <c r="G216" t="s">
        <v>30</v>
      </c>
      <c r="H216" s="1">
        <v>0.6</v>
      </c>
      <c r="K216" t="s">
        <v>270</v>
      </c>
      <c r="M216" t="s">
        <v>270</v>
      </c>
      <c r="O216" t="s">
        <v>270</v>
      </c>
      <c r="R216" t="s">
        <v>924</v>
      </c>
      <c r="S216" t="b">
        <f>COUNTIF(D:D,R216)&gt;0</f>
        <v>1</v>
      </c>
    </row>
    <row r="217" spans="1:19" x14ac:dyDescent="0.2">
      <c r="A217" t="s">
        <v>672</v>
      </c>
      <c r="B217" t="s">
        <v>673</v>
      </c>
      <c r="C217" t="s">
        <v>677</v>
      </c>
      <c r="D217" t="s">
        <v>675</v>
      </c>
      <c r="E217" t="b">
        <f>COUNTIF(R:R,D217)&gt;0</f>
        <v>1</v>
      </c>
      <c r="F217" t="str">
        <f t="shared" si="3"/>
        <v>OK</v>
      </c>
      <c r="G217" t="s">
        <v>30</v>
      </c>
      <c r="H217" s="1">
        <v>0.6</v>
      </c>
      <c r="K217" t="s">
        <v>270</v>
      </c>
      <c r="M217" t="s">
        <v>270</v>
      </c>
      <c r="O217" t="s">
        <v>270</v>
      </c>
      <c r="R217" t="s">
        <v>1675</v>
      </c>
      <c r="S217" t="b">
        <f>COUNTIF(D:D,R217)&gt;0</f>
        <v>1</v>
      </c>
    </row>
    <row r="218" spans="1:19" x14ac:dyDescent="0.2">
      <c r="A218" t="s">
        <v>672</v>
      </c>
      <c r="B218" t="s">
        <v>673</v>
      </c>
      <c r="C218" t="s">
        <v>677</v>
      </c>
      <c r="D218" t="s">
        <v>675</v>
      </c>
      <c r="E218" t="b">
        <f>COUNTIF(R:R,D218)&gt;0</f>
        <v>1</v>
      </c>
      <c r="F218" t="str">
        <f t="shared" si="3"/>
        <v>OK</v>
      </c>
      <c r="G218" t="s">
        <v>30</v>
      </c>
      <c r="H218" s="1">
        <v>0.6</v>
      </c>
      <c r="K218" t="s">
        <v>270</v>
      </c>
      <c r="M218" t="s">
        <v>270</v>
      </c>
      <c r="O218" t="s">
        <v>270</v>
      </c>
      <c r="R218" t="s">
        <v>906</v>
      </c>
      <c r="S218" t="b">
        <f>COUNTIF(D:D,R218)&gt;0</f>
        <v>1</v>
      </c>
    </row>
    <row r="219" spans="1:19" x14ac:dyDescent="0.2">
      <c r="A219" t="s">
        <v>672</v>
      </c>
      <c r="B219" t="s">
        <v>673</v>
      </c>
      <c r="C219" t="s">
        <v>678</v>
      </c>
      <c r="D219" t="s">
        <v>675</v>
      </c>
      <c r="E219" t="b">
        <f>COUNTIF(R:R,D219)&gt;0</f>
        <v>1</v>
      </c>
      <c r="F219" t="str">
        <f t="shared" si="3"/>
        <v>OK</v>
      </c>
      <c r="G219" t="s">
        <v>30</v>
      </c>
      <c r="H219" s="1">
        <v>0.6</v>
      </c>
      <c r="K219" t="s">
        <v>270</v>
      </c>
      <c r="M219" t="s">
        <v>270</v>
      </c>
      <c r="O219" t="s">
        <v>270</v>
      </c>
      <c r="R219" t="s">
        <v>1626</v>
      </c>
      <c r="S219" t="b">
        <f>COUNTIF(D:D,R219)&gt;0</f>
        <v>0</v>
      </c>
    </row>
    <row r="220" spans="1:19" x14ac:dyDescent="0.2">
      <c r="A220" t="s">
        <v>672</v>
      </c>
      <c r="B220" t="s">
        <v>679</v>
      </c>
      <c r="C220" t="s">
        <v>680</v>
      </c>
      <c r="D220" t="s">
        <v>681</v>
      </c>
      <c r="E220" t="b">
        <f>COUNTIF(R:R,D220)&gt;0</f>
        <v>1</v>
      </c>
      <c r="F220" t="str">
        <f t="shared" si="3"/>
        <v>OK</v>
      </c>
      <c r="G220" t="s">
        <v>416</v>
      </c>
      <c r="H220" s="1">
        <v>0.7</v>
      </c>
      <c r="K220" t="s">
        <v>270</v>
      </c>
      <c r="M220" t="s">
        <v>270</v>
      </c>
      <c r="O220" t="s">
        <v>270</v>
      </c>
      <c r="R220" t="s">
        <v>914</v>
      </c>
      <c r="S220" t="b">
        <f>COUNTIF(D:D,R220)&gt;0</f>
        <v>1</v>
      </c>
    </row>
    <row r="221" spans="1:19" x14ac:dyDescent="0.2">
      <c r="A221" t="s">
        <v>672</v>
      </c>
      <c r="B221" t="s">
        <v>679</v>
      </c>
      <c r="C221" t="s">
        <v>682</v>
      </c>
      <c r="D221" t="s">
        <v>681</v>
      </c>
      <c r="E221" t="b">
        <f>COUNTIF(R:R,D221)&gt;0</f>
        <v>1</v>
      </c>
      <c r="F221" t="str">
        <f t="shared" si="3"/>
        <v>OK</v>
      </c>
      <c r="G221" t="s">
        <v>416</v>
      </c>
      <c r="H221" s="1">
        <v>0.7</v>
      </c>
      <c r="K221" t="s">
        <v>270</v>
      </c>
      <c r="M221" t="s">
        <v>270</v>
      </c>
      <c r="O221" t="s">
        <v>270</v>
      </c>
      <c r="R221" t="s">
        <v>918</v>
      </c>
      <c r="S221" t="b">
        <f>COUNTIF(D:D,R221)&gt;0</f>
        <v>1</v>
      </c>
    </row>
    <row r="222" spans="1:19" x14ac:dyDescent="0.2">
      <c r="A222" t="s">
        <v>672</v>
      </c>
      <c r="B222" t="s">
        <v>679</v>
      </c>
      <c r="C222" t="s">
        <v>683</v>
      </c>
      <c r="D222" t="s">
        <v>684</v>
      </c>
      <c r="E222" t="b">
        <f>COUNTIF(R:R,D222)&gt;0</f>
        <v>1</v>
      </c>
      <c r="F222" t="str">
        <f t="shared" si="3"/>
        <v>OK</v>
      </c>
      <c r="G222" t="s">
        <v>30</v>
      </c>
      <c r="H222" s="1">
        <v>0.7</v>
      </c>
      <c r="K222" t="s">
        <v>270</v>
      </c>
      <c r="M222" t="s">
        <v>270</v>
      </c>
      <c r="O222" t="s">
        <v>270</v>
      </c>
      <c r="R222" t="s">
        <v>921</v>
      </c>
      <c r="S222" t="b">
        <f>COUNTIF(D:D,R222)&gt;0</f>
        <v>1</v>
      </c>
    </row>
    <row r="223" spans="1:19" x14ac:dyDescent="0.2">
      <c r="A223" t="s">
        <v>672</v>
      </c>
      <c r="B223" t="s">
        <v>679</v>
      </c>
      <c r="C223" t="s">
        <v>685</v>
      </c>
      <c r="D223" t="s">
        <v>684</v>
      </c>
      <c r="E223" t="b">
        <f>COUNTIF(R:R,D223)&gt;0</f>
        <v>1</v>
      </c>
      <c r="F223" t="str">
        <f t="shared" si="3"/>
        <v>OK</v>
      </c>
      <c r="G223" t="s">
        <v>30</v>
      </c>
      <c r="H223" s="1">
        <v>0.7</v>
      </c>
      <c r="K223" t="s">
        <v>270</v>
      </c>
      <c r="M223" t="s">
        <v>270</v>
      </c>
      <c r="O223" t="s">
        <v>270</v>
      </c>
      <c r="R223" t="s">
        <v>926</v>
      </c>
      <c r="S223" t="b">
        <f>COUNTIF(D:D,R223)&gt;0</f>
        <v>1</v>
      </c>
    </row>
    <row r="224" spans="1:19" x14ac:dyDescent="0.2">
      <c r="A224" t="s">
        <v>672</v>
      </c>
      <c r="B224" t="s">
        <v>679</v>
      </c>
      <c r="C224" t="s">
        <v>686</v>
      </c>
      <c r="D224" t="s">
        <v>684</v>
      </c>
      <c r="E224" t="b">
        <f>COUNTIF(R:R,D224)&gt;0</f>
        <v>1</v>
      </c>
      <c r="F224" t="str">
        <f t="shared" si="3"/>
        <v>OK</v>
      </c>
      <c r="G224" t="s">
        <v>30</v>
      </c>
      <c r="H224" s="1">
        <v>0.7</v>
      </c>
      <c r="K224" t="s">
        <v>270</v>
      </c>
      <c r="M224" t="s">
        <v>270</v>
      </c>
      <c r="O224" t="s">
        <v>270</v>
      </c>
      <c r="R224" t="s">
        <v>789</v>
      </c>
      <c r="S224" t="b">
        <f>COUNTIF(D:D,R224)&gt;0</f>
        <v>1</v>
      </c>
    </row>
    <row r="225" spans="1:19" x14ac:dyDescent="0.2">
      <c r="A225" t="s">
        <v>672</v>
      </c>
      <c r="B225" t="s">
        <v>679</v>
      </c>
      <c r="C225" t="s">
        <v>687</v>
      </c>
      <c r="D225" t="s">
        <v>688</v>
      </c>
      <c r="E225" t="b">
        <f>COUNTIF(R:R,D225)&gt;0</f>
        <v>1</v>
      </c>
      <c r="F225" t="str">
        <f t="shared" si="3"/>
        <v>OK</v>
      </c>
      <c r="G225" t="s">
        <v>30</v>
      </c>
      <c r="H225" s="1">
        <v>0.75</v>
      </c>
      <c r="K225" t="s">
        <v>270</v>
      </c>
      <c r="M225" t="s">
        <v>270</v>
      </c>
      <c r="O225" t="s">
        <v>270</v>
      </c>
      <c r="R225" t="s">
        <v>928</v>
      </c>
      <c r="S225" t="b">
        <f>COUNTIF(D:D,R225)&gt;0</f>
        <v>1</v>
      </c>
    </row>
    <row r="226" spans="1:19" x14ac:dyDescent="0.2">
      <c r="A226" t="s">
        <v>672</v>
      </c>
      <c r="B226" t="s">
        <v>679</v>
      </c>
      <c r="C226" t="s">
        <v>689</v>
      </c>
      <c r="D226" t="s">
        <v>688</v>
      </c>
      <c r="E226" t="b">
        <f>COUNTIF(R:R,D226)&gt;0</f>
        <v>1</v>
      </c>
      <c r="F226" t="str">
        <f t="shared" si="3"/>
        <v>OK</v>
      </c>
      <c r="G226" t="s">
        <v>30</v>
      </c>
      <c r="H226" s="1">
        <v>0.75</v>
      </c>
      <c r="K226" t="s">
        <v>270</v>
      </c>
      <c r="M226" t="s">
        <v>270</v>
      </c>
      <c r="O226" t="s">
        <v>270</v>
      </c>
      <c r="R226" t="s">
        <v>935</v>
      </c>
      <c r="S226" t="b">
        <f>COUNTIF(D:D,R226)&gt;0</f>
        <v>1</v>
      </c>
    </row>
    <row r="227" spans="1:19" x14ac:dyDescent="0.2">
      <c r="A227" t="s">
        <v>672</v>
      </c>
      <c r="B227" t="s">
        <v>673</v>
      </c>
      <c r="C227" t="s">
        <v>690</v>
      </c>
      <c r="D227" t="s">
        <v>691</v>
      </c>
      <c r="E227" t="b">
        <f>COUNTIF(R:R,D227)&gt;0</f>
        <v>1</v>
      </c>
      <c r="F227" t="str">
        <f t="shared" si="3"/>
        <v>OK</v>
      </c>
      <c r="G227" t="s">
        <v>30</v>
      </c>
      <c r="H227" s="1">
        <v>0.6</v>
      </c>
      <c r="K227" t="s">
        <v>270</v>
      </c>
      <c r="M227" t="s">
        <v>270</v>
      </c>
      <c r="O227" t="s">
        <v>270</v>
      </c>
      <c r="R227" t="s">
        <v>931</v>
      </c>
      <c r="S227" t="b">
        <f>COUNTIF(D:D,R227)&gt;0</f>
        <v>1</v>
      </c>
    </row>
    <row r="228" spans="1:19" x14ac:dyDescent="0.2">
      <c r="A228" t="s">
        <v>672</v>
      </c>
      <c r="B228" t="s">
        <v>673</v>
      </c>
      <c r="C228" t="s">
        <v>692</v>
      </c>
      <c r="D228" t="s">
        <v>691</v>
      </c>
      <c r="E228" t="b">
        <f>COUNTIF(R:R,D228)&gt;0</f>
        <v>1</v>
      </c>
      <c r="F228" t="str">
        <f t="shared" si="3"/>
        <v>OK</v>
      </c>
      <c r="G228" t="s">
        <v>30</v>
      </c>
      <c r="H228" s="1">
        <v>0.6</v>
      </c>
      <c r="K228" t="s">
        <v>270</v>
      </c>
      <c r="M228" t="s">
        <v>270</v>
      </c>
      <c r="O228" t="s">
        <v>270</v>
      </c>
      <c r="R228" t="s">
        <v>933</v>
      </c>
      <c r="S228" t="b">
        <f>COUNTIF(D:D,R228)&gt;0</f>
        <v>1</v>
      </c>
    </row>
    <row r="229" spans="1:19" x14ac:dyDescent="0.2">
      <c r="A229" t="s">
        <v>672</v>
      </c>
      <c r="B229" t="s">
        <v>673</v>
      </c>
      <c r="C229" t="s">
        <v>693</v>
      </c>
      <c r="D229" t="s">
        <v>691</v>
      </c>
      <c r="E229" t="b">
        <f>COUNTIF(R:R,D229)&gt;0</f>
        <v>1</v>
      </c>
      <c r="F229" t="str">
        <f t="shared" si="3"/>
        <v>OK</v>
      </c>
      <c r="G229" t="s">
        <v>30</v>
      </c>
      <c r="H229" s="1">
        <v>0.6</v>
      </c>
      <c r="I229" t="s">
        <v>694</v>
      </c>
      <c r="K229" t="s">
        <v>270</v>
      </c>
      <c r="M229" t="s">
        <v>270</v>
      </c>
      <c r="O229" t="s">
        <v>270</v>
      </c>
      <c r="R229" t="s">
        <v>938</v>
      </c>
      <c r="S229" t="b">
        <f>COUNTIF(D:D,R229)&gt;0</f>
        <v>1</v>
      </c>
    </row>
    <row r="230" spans="1:19" x14ac:dyDescent="0.2">
      <c r="A230" t="s">
        <v>672</v>
      </c>
      <c r="B230" t="s">
        <v>679</v>
      </c>
      <c r="C230" t="s">
        <v>695</v>
      </c>
      <c r="D230" t="s">
        <v>696</v>
      </c>
      <c r="E230" t="b">
        <f>COUNTIF(R:R,D230)&gt;0</f>
        <v>1</v>
      </c>
      <c r="F230" t="str">
        <f t="shared" si="3"/>
        <v>OK</v>
      </c>
      <c r="G230" t="s">
        <v>30</v>
      </c>
      <c r="H230" s="1">
        <v>0.7</v>
      </c>
      <c r="K230" t="s">
        <v>270</v>
      </c>
      <c r="M230" t="s">
        <v>270</v>
      </c>
      <c r="O230" t="s">
        <v>270</v>
      </c>
      <c r="R230" t="s">
        <v>950</v>
      </c>
      <c r="S230" t="b">
        <f>COUNTIF(D:D,R230)&gt;0</f>
        <v>1</v>
      </c>
    </row>
    <row r="231" spans="1:19" x14ac:dyDescent="0.2">
      <c r="A231" t="s">
        <v>672</v>
      </c>
      <c r="B231" t="s">
        <v>673</v>
      </c>
      <c r="C231" t="s">
        <v>697</v>
      </c>
      <c r="D231" t="s">
        <v>698</v>
      </c>
      <c r="E231" t="b">
        <f>COUNTIF(R:R,D231)&gt;0</f>
        <v>0</v>
      </c>
      <c r="F231" t="str">
        <f t="shared" si="3"/>
        <v>OK</v>
      </c>
      <c r="G231" t="s">
        <v>18</v>
      </c>
      <c r="H231" s="1">
        <v>0.35</v>
      </c>
      <c r="I231" t="s">
        <v>699</v>
      </c>
      <c r="J231" t="s">
        <v>700</v>
      </c>
      <c r="K231" t="s">
        <v>270</v>
      </c>
      <c r="M231" t="s">
        <v>21</v>
      </c>
      <c r="O231" t="s">
        <v>236</v>
      </c>
      <c r="R231" t="s">
        <v>945</v>
      </c>
      <c r="S231" t="b">
        <f>COUNTIF(D:D,R231)&gt;0</f>
        <v>1</v>
      </c>
    </row>
    <row r="232" spans="1:19" x14ac:dyDescent="0.2">
      <c r="A232" t="s">
        <v>672</v>
      </c>
      <c r="B232" t="s">
        <v>673</v>
      </c>
      <c r="C232" t="s">
        <v>701</v>
      </c>
      <c r="D232" t="s">
        <v>702</v>
      </c>
      <c r="E232" t="b">
        <f>COUNTIF(R:R,D232)&gt;0</f>
        <v>1</v>
      </c>
      <c r="F232" t="str">
        <f t="shared" si="3"/>
        <v>OK</v>
      </c>
      <c r="G232" t="s">
        <v>18</v>
      </c>
      <c r="H232" s="1">
        <v>0.55000000000000004</v>
      </c>
      <c r="I232" t="s">
        <v>703</v>
      </c>
      <c r="K232" t="s">
        <v>270</v>
      </c>
      <c r="M232" t="s">
        <v>270</v>
      </c>
      <c r="O232" t="s">
        <v>236</v>
      </c>
      <c r="R232" t="s">
        <v>959</v>
      </c>
      <c r="S232" t="b">
        <f>COUNTIF(D:D,R232)&gt;0</f>
        <v>1</v>
      </c>
    </row>
    <row r="233" spans="1:19" x14ac:dyDescent="0.2">
      <c r="A233" t="s">
        <v>672</v>
      </c>
      <c r="B233" t="s">
        <v>673</v>
      </c>
      <c r="C233" t="s">
        <v>704</v>
      </c>
      <c r="D233" t="s">
        <v>705</v>
      </c>
      <c r="E233" t="b">
        <f>COUNTIF(R:R,D233)&gt;0</f>
        <v>1</v>
      </c>
      <c r="F233" t="str">
        <f t="shared" si="3"/>
        <v>OK</v>
      </c>
      <c r="G233" t="s">
        <v>18</v>
      </c>
      <c r="H233" s="1">
        <v>0.65</v>
      </c>
      <c r="K233" t="s">
        <v>270</v>
      </c>
      <c r="M233" t="s">
        <v>270</v>
      </c>
      <c r="O233" t="s">
        <v>270</v>
      </c>
      <c r="R233" t="s">
        <v>862</v>
      </c>
      <c r="S233" t="b">
        <f>COUNTIF(D:D,R233)&gt;0</f>
        <v>1</v>
      </c>
    </row>
    <row r="234" spans="1:19" x14ac:dyDescent="0.2">
      <c r="A234" t="s">
        <v>672</v>
      </c>
      <c r="B234" t="s">
        <v>673</v>
      </c>
      <c r="C234" t="s">
        <v>706</v>
      </c>
      <c r="D234" t="s">
        <v>705</v>
      </c>
      <c r="E234" t="b">
        <f>COUNTIF(R:R,D234)&gt;0</f>
        <v>1</v>
      </c>
      <c r="F234" t="str">
        <f t="shared" si="3"/>
        <v>OK</v>
      </c>
      <c r="G234" t="s">
        <v>18</v>
      </c>
      <c r="H234" s="1">
        <v>0.65</v>
      </c>
      <c r="K234" t="s">
        <v>270</v>
      </c>
      <c r="M234" t="s">
        <v>270</v>
      </c>
      <c r="O234" t="s">
        <v>270</v>
      </c>
      <c r="R234" t="s">
        <v>894</v>
      </c>
      <c r="S234" t="b">
        <f>COUNTIF(D:D,R234)&gt;0</f>
        <v>1</v>
      </c>
    </row>
    <row r="235" spans="1:19" x14ac:dyDescent="0.2">
      <c r="A235" t="s">
        <v>672</v>
      </c>
      <c r="B235" t="s">
        <v>673</v>
      </c>
      <c r="C235" t="s">
        <v>707</v>
      </c>
      <c r="D235" t="s">
        <v>705</v>
      </c>
      <c r="E235" t="b">
        <f>COUNTIF(R:R,D235)&gt;0</f>
        <v>1</v>
      </c>
      <c r="F235" t="str">
        <f t="shared" si="3"/>
        <v>OK</v>
      </c>
      <c r="G235" t="s">
        <v>18</v>
      </c>
      <c r="H235" s="1">
        <v>0.65</v>
      </c>
      <c r="K235" t="s">
        <v>270</v>
      </c>
      <c r="M235" t="s">
        <v>270</v>
      </c>
      <c r="O235" t="s">
        <v>270</v>
      </c>
      <c r="R235" t="s">
        <v>866</v>
      </c>
      <c r="S235" t="b">
        <f>COUNTIF(D:D,R235)&gt;0</f>
        <v>1</v>
      </c>
    </row>
    <row r="236" spans="1:19" x14ac:dyDescent="0.2">
      <c r="A236" t="s">
        <v>672</v>
      </c>
      <c r="B236" t="s">
        <v>673</v>
      </c>
      <c r="C236" t="s">
        <v>708</v>
      </c>
      <c r="D236" t="s">
        <v>705</v>
      </c>
      <c r="E236" t="b">
        <f>COUNTIF(R:R,D236)&gt;0</f>
        <v>1</v>
      </c>
      <c r="F236" t="str">
        <f t="shared" si="3"/>
        <v>OK</v>
      </c>
      <c r="G236" t="s">
        <v>18</v>
      </c>
      <c r="H236" s="1">
        <v>0.65</v>
      </c>
      <c r="K236" t="s">
        <v>270</v>
      </c>
      <c r="M236" t="s">
        <v>270</v>
      </c>
      <c r="O236" t="s">
        <v>270</v>
      </c>
      <c r="R236" t="s">
        <v>880</v>
      </c>
      <c r="S236" t="b">
        <f>COUNTIF(D:D,R236)&gt;0</f>
        <v>1</v>
      </c>
    </row>
    <row r="237" spans="1:19" x14ac:dyDescent="0.2">
      <c r="A237" t="s">
        <v>672</v>
      </c>
      <c r="B237" t="s">
        <v>673</v>
      </c>
      <c r="C237" t="s">
        <v>709</v>
      </c>
      <c r="D237" t="s">
        <v>705</v>
      </c>
      <c r="E237" t="b">
        <f>COUNTIF(R:R,D237)&gt;0</f>
        <v>1</v>
      </c>
      <c r="F237" t="str">
        <f t="shared" si="3"/>
        <v>OK</v>
      </c>
      <c r="G237" t="s">
        <v>18</v>
      </c>
      <c r="H237" s="1">
        <v>0.55000000000000004</v>
      </c>
      <c r="K237" t="s">
        <v>270</v>
      </c>
      <c r="M237" t="s">
        <v>236</v>
      </c>
      <c r="O237" t="s">
        <v>270</v>
      </c>
      <c r="R237" t="s">
        <v>868</v>
      </c>
      <c r="S237" t="b">
        <f>COUNTIF(D:D,R237)&gt;0</f>
        <v>1</v>
      </c>
    </row>
    <row r="238" spans="1:19" x14ac:dyDescent="0.2">
      <c r="A238" t="s">
        <v>672</v>
      </c>
      <c r="B238" t="s">
        <v>673</v>
      </c>
      <c r="C238" t="s">
        <v>710</v>
      </c>
      <c r="D238" t="s">
        <v>705</v>
      </c>
      <c r="E238" t="b">
        <f>COUNTIF(R:R,D238)&gt;0</f>
        <v>1</v>
      </c>
      <c r="F238" t="str">
        <f t="shared" si="3"/>
        <v>OK</v>
      </c>
      <c r="G238" t="s">
        <v>18</v>
      </c>
      <c r="H238" s="1">
        <v>0.55000000000000004</v>
      </c>
      <c r="K238" t="s">
        <v>270</v>
      </c>
      <c r="M238" t="s">
        <v>236</v>
      </c>
      <c r="O238" t="s">
        <v>270</v>
      </c>
      <c r="R238" t="s">
        <v>888</v>
      </c>
      <c r="S238" t="b">
        <f>COUNTIF(D:D,R238)&gt;0</f>
        <v>1</v>
      </c>
    </row>
    <row r="239" spans="1:19" x14ac:dyDescent="0.2">
      <c r="A239" t="s">
        <v>672</v>
      </c>
      <c r="B239" t="s">
        <v>679</v>
      </c>
      <c r="C239" t="s">
        <v>711</v>
      </c>
      <c r="D239" t="s">
        <v>712</v>
      </c>
      <c r="E239" t="b">
        <f>COUNTIF(R:R,D239)&gt;0</f>
        <v>1</v>
      </c>
      <c r="F239" t="str">
        <f t="shared" si="3"/>
        <v>OK</v>
      </c>
      <c r="G239" t="s">
        <v>30</v>
      </c>
      <c r="H239" s="1">
        <v>0.65</v>
      </c>
      <c r="K239" t="s">
        <v>270</v>
      </c>
      <c r="M239" t="s">
        <v>270</v>
      </c>
      <c r="O239" t="s">
        <v>270</v>
      </c>
      <c r="R239" t="s">
        <v>872</v>
      </c>
      <c r="S239" t="b">
        <f>COUNTIF(D:D,R239)&gt;0</f>
        <v>1</v>
      </c>
    </row>
    <row r="240" spans="1:19" x14ac:dyDescent="0.2">
      <c r="A240" t="s">
        <v>672</v>
      </c>
      <c r="B240" t="s">
        <v>679</v>
      </c>
      <c r="C240" t="s">
        <v>711</v>
      </c>
      <c r="D240" t="s">
        <v>712</v>
      </c>
      <c r="E240" t="b">
        <f>COUNTIF(R:R,D240)&gt;0</f>
        <v>1</v>
      </c>
      <c r="F240" t="str">
        <f t="shared" si="3"/>
        <v>OK</v>
      </c>
      <c r="G240" t="s">
        <v>30</v>
      </c>
      <c r="H240" s="1">
        <v>0.65</v>
      </c>
      <c r="K240" t="s">
        <v>270</v>
      </c>
      <c r="M240" t="s">
        <v>270</v>
      </c>
      <c r="O240" t="s">
        <v>270</v>
      </c>
      <c r="R240" t="s">
        <v>1389</v>
      </c>
      <c r="S240" t="b">
        <f>COUNTIF(D:D,R240)&gt;0</f>
        <v>1</v>
      </c>
    </row>
    <row r="241" spans="1:19" x14ac:dyDescent="0.2">
      <c r="A241" t="s">
        <v>672</v>
      </c>
      <c r="B241" t="s">
        <v>679</v>
      </c>
      <c r="C241" t="s">
        <v>711</v>
      </c>
      <c r="D241" t="s">
        <v>712</v>
      </c>
      <c r="E241" t="b">
        <f>COUNTIF(R:R,D241)&gt;0</f>
        <v>1</v>
      </c>
      <c r="F241" t="str">
        <f t="shared" si="3"/>
        <v>OK</v>
      </c>
      <c r="G241" t="s">
        <v>30</v>
      </c>
      <c r="H241" s="1">
        <v>0.65</v>
      </c>
      <c r="K241" t="s">
        <v>713</v>
      </c>
      <c r="M241" t="s">
        <v>270</v>
      </c>
      <c r="O241" t="s">
        <v>270</v>
      </c>
      <c r="R241" t="s">
        <v>1391</v>
      </c>
      <c r="S241" t="b">
        <f>COUNTIF(D:D,R241)&gt;0</f>
        <v>1</v>
      </c>
    </row>
    <row r="242" spans="1:19" x14ac:dyDescent="0.2">
      <c r="A242" t="s">
        <v>672</v>
      </c>
      <c r="B242" t="s">
        <v>679</v>
      </c>
      <c r="C242" t="s">
        <v>714</v>
      </c>
      <c r="D242" t="s">
        <v>712</v>
      </c>
      <c r="E242" t="b">
        <f>COUNTIF(R:R,D242)&gt;0</f>
        <v>1</v>
      </c>
      <c r="F242" t="str">
        <f t="shared" si="3"/>
        <v>OK</v>
      </c>
      <c r="G242" t="s">
        <v>30</v>
      </c>
      <c r="H242" s="1">
        <v>0.65</v>
      </c>
      <c r="K242" t="s">
        <v>270</v>
      </c>
      <c r="M242" t="s">
        <v>270</v>
      </c>
      <c r="O242" t="s">
        <v>270</v>
      </c>
      <c r="R242" t="s">
        <v>1387</v>
      </c>
      <c r="S242" t="b">
        <f>COUNTIF(D:D,R242)&gt;0</f>
        <v>1</v>
      </c>
    </row>
    <row r="243" spans="1:19" x14ac:dyDescent="0.2">
      <c r="A243" t="s">
        <v>672</v>
      </c>
      <c r="B243" t="s">
        <v>679</v>
      </c>
      <c r="C243" t="s">
        <v>714</v>
      </c>
      <c r="D243" t="s">
        <v>712</v>
      </c>
      <c r="E243" t="b">
        <f>COUNTIF(R:R,D243)&gt;0</f>
        <v>1</v>
      </c>
      <c r="F243" t="str">
        <f t="shared" si="3"/>
        <v>OK</v>
      </c>
      <c r="G243" t="s">
        <v>30</v>
      </c>
      <c r="H243" s="1">
        <v>0.5</v>
      </c>
      <c r="I243" t="s">
        <v>715</v>
      </c>
      <c r="K243" t="s">
        <v>270</v>
      </c>
      <c r="M243" t="s">
        <v>270</v>
      </c>
      <c r="O243" t="s">
        <v>270</v>
      </c>
      <c r="R243" t="s">
        <v>1399</v>
      </c>
      <c r="S243" t="b">
        <f>COUNTIF(D:D,R243)&gt;0</f>
        <v>1</v>
      </c>
    </row>
    <row r="244" spans="1:19" x14ac:dyDescent="0.2">
      <c r="A244" t="s">
        <v>672</v>
      </c>
      <c r="B244" t="s">
        <v>679</v>
      </c>
      <c r="C244" t="s">
        <v>714</v>
      </c>
      <c r="D244" t="s">
        <v>712</v>
      </c>
      <c r="E244" t="b">
        <f>COUNTIF(R:R,D244)&gt;0</f>
        <v>1</v>
      </c>
      <c r="F244" t="str">
        <f t="shared" si="3"/>
        <v>OK</v>
      </c>
      <c r="G244" t="s">
        <v>30</v>
      </c>
      <c r="H244" s="1">
        <v>0.5</v>
      </c>
      <c r="I244" t="s">
        <v>715</v>
      </c>
      <c r="K244" t="s">
        <v>270</v>
      </c>
      <c r="M244" t="s">
        <v>270</v>
      </c>
      <c r="O244" t="s">
        <v>270</v>
      </c>
      <c r="R244" t="s">
        <v>1401</v>
      </c>
      <c r="S244" t="b">
        <f>COUNTIF(D:D,R244)&gt;0</f>
        <v>1</v>
      </c>
    </row>
    <row r="245" spans="1:19" x14ac:dyDescent="0.2">
      <c r="A245" t="s">
        <v>672</v>
      </c>
      <c r="B245" t="s">
        <v>679</v>
      </c>
      <c r="C245" t="s">
        <v>714</v>
      </c>
      <c r="D245" t="s">
        <v>712</v>
      </c>
      <c r="E245" t="b">
        <f>COUNTIF(R:R,D245)&gt;0</f>
        <v>1</v>
      </c>
      <c r="F245" t="str">
        <f t="shared" si="3"/>
        <v>OK</v>
      </c>
      <c r="G245" t="s">
        <v>30</v>
      </c>
      <c r="H245" s="1">
        <v>0.5</v>
      </c>
      <c r="I245" t="s">
        <v>715</v>
      </c>
      <c r="K245" t="s">
        <v>713</v>
      </c>
      <c r="M245" t="s">
        <v>270</v>
      </c>
      <c r="O245" t="s">
        <v>270</v>
      </c>
      <c r="R245" t="s">
        <v>1404</v>
      </c>
      <c r="S245" t="b">
        <f>COUNTIF(D:D,R245)&gt;0</f>
        <v>1</v>
      </c>
    </row>
    <row r="246" spans="1:19" x14ac:dyDescent="0.2">
      <c r="A246" t="s">
        <v>672</v>
      </c>
      <c r="B246" t="s">
        <v>679</v>
      </c>
      <c r="C246" t="s">
        <v>714</v>
      </c>
      <c r="D246" t="s">
        <v>712</v>
      </c>
      <c r="E246" t="b">
        <f>COUNTIF(R:R,D246)&gt;0</f>
        <v>1</v>
      </c>
      <c r="F246" t="str">
        <f t="shared" si="3"/>
        <v>OK</v>
      </c>
      <c r="G246" t="s">
        <v>30</v>
      </c>
      <c r="H246" s="1">
        <v>0.5</v>
      </c>
      <c r="I246" t="s">
        <v>715</v>
      </c>
      <c r="K246" t="s">
        <v>270</v>
      </c>
      <c r="M246" t="s">
        <v>270</v>
      </c>
      <c r="O246" t="s">
        <v>270</v>
      </c>
      <c r="R246" t="s">
        <v>1406</v>
      </c>
      <c r="S246" t="b">
        <f>COUNTIF(D:D,R246)&gt;0</f>
        <v>1</v>
      </c>
    </row>
    <row r="247" spans="1:19" x14ac:dyDescent="0.2">
      <c r="A247" t="s">
        <v>672</v>
      </c>
      <c r="B247" t="s">
        <v>679</v>
      </c>
      <c r="C247" t="s">
        <v>714</v>
      </c>
      <c r="D247" t="s">
        <v>712</v>
      </c>
      <c r="E247" t="b">
        <f>COUNTIF(R:R,D247)&gt;0</f>
        <v>1</v>
      </c>
      <c r="F247" t="str">
        <f t="shared" si="3"/>
        <v>OK</v>
      </c>
      <c r="G247" t="s">
        <v>30</v>
      </c>
      <c r="H247" s="1">
        <v>0.5</v>
      </c>
      <c r="I247" t="s">
        <v>715</v>
      </c>
      <c r="K247" t="s">
        <v>270</v>
      </c>
      <c r="M247" t="s">
        <v>236</v>
      </c>
      <c r="O247" t="s">
        <v>236</v>
      </c>
      <c r="R247" t="s">
        <v>1408</v>
      </c>
      <c r="S247" t="b">
        <f>COUNTIF(D:D,R247)&gt;0</f>
        <v>1</v>
      </c>
    </row>
    <row r="248" spans="1:19" x14ac:dyDescent="0.2">
      <c r="A248" t="s">
        <v>672</v>
      </c>
      <c r="B248" t="s">
        <v>679</v>
      </c>
      <c r="C248" t="s">
        <v>716</v>
      </c>
      <c r="D248" t="s">
        <v>717</v>
      </c>
      <c r="E248" t="b">
        <f>COUNTIF(R:R,D248)&gt;0</f>
        <v>1</v>
      </c>
      <c r="F248" t="str">
        <f t="shared" si="3"/>
        <v>OK</v>
      </c>
      <c r="G248" t="s">
        <v>30</v>
      </c>
      <c r="H248" s="1">
        <v>0.2</v>
      </c>
      <c r="I248" t="s">
        <v>718</v>
      </c>
      <c r="J248" t="s">
        <v>719</v>
      </c>
      <c r="K248" t="s">
        <v>487</v>
      </c>
      <c r="M248" t="s">
        <v>270</v>
      </c>
      <c r="O248" t="s">
        <v>487</v>
      </c>
      <c r="R248" t="s">
        <v>1410</v>
      </c>
      <c r="S248" t="b">
        <f>COUNTIF(D:D,R248)&gt;0</f>
        <v>1</v>
      </c>
    </row>
    <row r="249" spans="1:19" x14ac:dyDescent="0.2">
      <c r="A249" t="s">
        <v>672</v>
      </c>
      <c r="B249" t="s">
        <v>679</v>
      </c>
      <c r="C249" t="s">
        <v>720</v>
      </c>
      <c r="D249" t="s">
        <v>717</v>
      </c>
      <c r="E249" t="b">
        <f>COUNTIF(R:R,D249)&gt;0</f>
        <v>1</v>
      </c>
      <c r="F249" t="str">
        <f t="shared" si="3"/>
        <v>OK</v>
      </c>
      <c r="G249" t="s">
        <v>30</v>
      </c>
      <c r="H249" s="1">
        <v>0.2</v>
      </c>
      <c r="I249" t="s">
        <v>721</v>
      </c>
      <c r="J249" t="s">
        <v>715</v>
      </c>
      <c r="K249" t="s">
        <v>487</v>
      </c>
      <c r="M249" t="s">
        <v>270</v>
      </c>
      <c r="O249" t="s">
        <v>722</v>
      </c>
      <c r="R249" t="s">
        <v>1412</v>
      </c>
      <c r="S249" t="b">
        <f>COUNTIF(D:D,R249)&gt;0</f>
        <v>1</v>
      </c>
    </row>
    <row r="250" spans="1:19" x14ac:dyDescent="0.2">
      <c r="A250" t="s">
        <v>672</v>
      </c>
      <c r="B250" t="s">
        <v>679</v>
      </c>
      <c r="C250" t="s">
        <v>723</v>
      </c>
      <c r="D250" t="s">
        <v>724</v>
      </c>
      <c r="E250" t="b">
        <f>COUNTIF(R:R,D250)&gt;0</f>
        <v>1</v>
      </c>
      <c r="F250" t="str">
        <f t="shared" si="3"/>
        <v>OK</v>
      </c>
      <c r="G250" t="s">
        <v>18</v>
      </c>
      <c r="H250" s="1">
        <v>0.6</v>
      </c>
      <c r="I250" t="s">
        <v>55</v>
      </c>
      <c r="J250" t="s">
        <v>55</v>
      </c>
      <c r="K250" t="s">
        <v>270</v>
      </c>
      <c r="M250" t="s">
        <v>270</v>
      </c>
      <c r="O250" t="s">
        <v>146</v>
      </c>
      <c r="R250" t="s">
        <v>1416</v>
      </c>
      <c r="S250" t="b">
        <f>COUNTIF(D:D,R250)&gt;0</f>
        <v>1</v>
      </c>
    </row>
    <row r="251" spans="1:19" x14ac:dyDescent="0.2">
      <c r="A251" t="s">
        <v>672</v>
      </c>
      <c r="B251" t="s">
        <v>679</v>
      </c>
      <c r="C251" t="s">
        <v>723</v>
      </c>
      <c r="D251" t="s">
        <v>724</v>
      </c>
      <c r="E251" t="b">
        <f>COUNTIF(R:R,D251)&gt;0</f>
        <v>1</v>
      </c>
      <c r="F251" t="str">
        <f t="shared" si="3"/>
        <v>OK</v>
      </c>
      <c r="G251" t="s">
        <v>18</v>
      </c>
      <c r="H251" s="1">
        <v>0.6</v>
      </c>
      <c r="I251" t="s">
        <v>55</v>
      </c>
      <c r="J251" t="s">
        <v>55</v>
      </c>
      <c r="K251" t="s">
        <v>270</v>
      </c>
      <c r="M251" t="s">
        <v>270</v>
      </c>
      <c r="O251" t="s">
        <v>722</v>
      </c>
      <c r="R251" t="s">
        <v>1429</v>
      </c>
      <c r="S251" t="b">
        <f>COUNTIF(D:D,R251)&gt;0</f>
        <v>1</v>
      </c>
    </row>
    <row r="252" spans="1:19" x14ac:dyDescent="0.2">
      <c r="A252" t="s">
        <v>672</v>
      </c>
      <c r="B252" t="s">
        <v>679</v>
      </c>
      <c r="C252" t="s">
        <v>723</v>
      </c>
      <c r="D252" t="s">
        <v>724</v>
      </c>
      <c r="E252" t="b">
        <f>COUNTIF(R:R,D252)&gt;0</f>
        <v>1</v>
      </c>
      <c r="F252" t="str">
        <f t="shared" si="3"/>
        <v>OK</v>
      </c>
      <c r="G252" t="s">
        <v>18</v>
      </c>
      <c r="H252" s="1">
        <v>0.6</v>
      </c>
      <c r="I252" t="s">
        <v>55</v>
      </c>
      <c r="J252" t="s">
        <v>55</v>
      </c>
      <c r="K252" t="s">
        <v>270</v>
      </c>
      <c r="M252" t="s">
        <v>270</v>
      </c>
      <c r="O252" t="s">
        <v>270</v>
      </c>
      <c r="R252" t="s">
        <v>1431</v>
      </c>
      <c r="S252" t="b">
        <f>COUNTIF(D:D,R252)&gt;0</f>
        <v>1</v>
      </c>
    </row>
    <row r="253" spans="1:19" x14ac:dyDescent="0.2">
      <c r="A253" t="s">
        <v>672</v>
      </c>
      <c r="B253" t="s">
        <v>679</v>
      </c>
      <c r="C253" t="s">
        <v>723</v>
      </c>
      <c r="D253" t="s">
        <v>724</v>
      </c>
      <c r="E253" t="b">
        <f>COUNTIF(R:R,D253)&gt;0</f>
        <v>1</v>
      </c>
      <c r="F253" t="str">
        <f t="shared" si="3"/>
        <v>OK</v>
      </c>
      <c r="G253" t="s">
        <v>18</v>
      </c>
      <c r="H253" s="1">
        <v>0.6</v>
      </c>
      <c r="I253" t="s">
        <v>55</v>
      </c>
      <c r="J253" t="s">
        <v>55</v>
      </c>
      <c r="K253" t="s">
        <v>270</v>
      </c>
      <c r="M253" t="s">
        <v>270</v>
      </c>
      <c r="O253" t="s">
        <v>722</v>
      </c>
      <c r="R253" t="s">
        <v>1423</v>
      </c>
      <c r="S253" t="b">
        <f>COUNTIF(D:D,R253)&gt;0</f>
        <v>1</v>
      </c>
    </row>
    <row r="254" spans="1:19" x14ac:dyDescent="0.2">
      <c r="A254" t="s">
        <v>672</v>
      </c>
      <c r="B254" t="s">
        <v>679</v>
      </c>
      <c r="C254" t="s">
        <v>725</v>
      </c>
      <c r="D254" t="s">
        <v>724</v>
      </c>
      <c r="E254" t="b">
        <f>COUNTIF(R:R,D254)&gt;0</f>
        <v>1</v>
      </c>
      <c r="F254" t="str">
        <f t="shared" si="3"/>
        <v>OK</v>
      </c>
      <c r="G254" t="s">
        <v>18</v>
      </c>
      <c r="H254" s="1">
        <v>0.6</v>
      </c>
      <c r="K254" t="s">
        <v>713</v>
      </c>
      <c r="M254" t="s">
        <v>270</v>
      </c>
      <c r="O254" t="s">
        <v>722</v>
      </c>
      <c r="R254" t="s">
        <v>1426</v>
      </c>
      <c r="S254" t="b">
        <f>COUNTIF(D:D,R254)&gt;0</f>
        <v>1</v>
      </c>
    </row>
    <row r="255" spans="1:19" x14ac:dyDescent="0.2">
      <c r="A255" t="s">
        <v>672</v>
      </c>
      <c r="B255" t="s">
        <v>679</v>
      </c>
      <c r="C255" t="s">
        <v>725</v>
      </c>
      <c r="D255" t="s">
        <v>724</v>
      </c>
      <c r="E255" t="b">
        <f>COUNTIF(R:R,D255)&gt;0</f>
        <v>1</v>
      </c>
      <c r="F255" t="str">
        <f t="shared" si="3"/>
        <v>OK</v>
      </c>
      <c r="G255" t="s">
        <v>18</v>
      </c>
      <c r="H255" s="1">
        <v>0.6</v>
      </c>
      <c r="K255" t="s">
        <v>236</v>
      </c>
      <c r="M255" t="s">
        <v>236</v>
      </c>
      <c r="O255" t="s">
        <v>236</v>
      </c>
      <c r="R255" t="s">
        <v>1419</v>
      </c>
      <c r="S255" t="b">
        <f>COUNTIF(D:D,R255)&gt;0</f>
        <v>1</v>
      </c>
    </row>
    <row r="256" spans="1:19" x14ac:dyDescent="0.2">
      <c r="A256" t="s">
        <v>672</v>
      </c>
      <c r="B256" t="s">
        <v>679</v>
      </c>
      <c r="C256" t="s">
        <v>725</v>
      </c>
      <c r="D256" t="s">
        <v>724</v>
      </c>
      <c r="E256" t="b">
        <f>COUNTIF(R:R,D256)&gt;0</f>
        <v>1</v>
      </c>
      <c r="F256" t="str">
        <f t="shared" si="3"/>
        <v>OK</v>
      </c>
      <c r="G256" t="s">
        <v>18</v>
      </c>
      <c r="H256" s="1">
        <v>0.6</v>
      </c>
      <c r="K256" t="s">
        <v>713</v>
      </c>
      <c r="M256" t="s">
        <v>270</v>
      </c>
      <c r="O256" t="s">
        <v>487</v>
      </c>
      <c r="R256" t="s">
        <v>1421</v>
      </c>
      <c r="S256" t="b">
        <f>COUNTIF(D:D,R256)&gt;0</f>
        <v>1</v>
      </c>
    </row>
    <row r="257" spans="1:19" x14ac:dyDescent="0.2">
      <c r="A257" t="s">
        <v>672</v>
      </c>
      <c r="B257" t="s">
        <v>679</v>
      </c>
      <c r="C257" t="s">
        <v>725</v>
      </c>
      <c r="D257" t="s">
        <v>724</v>
      </c>
      <c r="E257" t="b">
        <f>COUNTIF(R:R,D257)&gt;0</f>
        <v>1</v>
      </c>
      <c r="F257" t="str">
        <f t="shared" si="3"/>
        <v>OK</v>
      </c>
      <c r="G257" t="s">
        <v>18</v>
      </c>
      <c r="H257" s="1">
        <v>0.6</v>
      </c>
      <c r="K257" t="s">
        <v>713</v>
      </c>
      <c r="M257" t="s">
        <v>270</v>
      </c>
      <c r="O257" t="s">
        <v>270</v>
      </c>
      <c r="R257" t="s">
        <v>555</v>
      </c>
      <c r="S257" t="b">
        <f>COUNTIF(D:D,R257)&gt;0</f>
        <v>1</v>
      </c>
    </row>
    <row r="258" spans="1:19" x14ac:dyDescent="0.2">
      <c r="A258" t="s">
        <v>672</v>
      </c>
      <c r="B258" t="s">
        <v>679</v>
      </c>
      <c r="C258" t="s">
        <v>726</v>
      </c>
      <c r="D258" t="s">
        <v>727</v>
      </c>
      <c r="E258" t="b">
        <f>COUNTIF(R:R,D258)&gt;0</f>
        <v>1</v>
      </c>
      <c r="F258" t="str">
        <f t="shared" si="3"/>
        <v>OK</v>
      </c>
      <c r="G258" t="s">
        <v>18</v>
      </c>
      <c r="H258" s="1">
        <v>0.5</v>
      </c>
      <c r="I258" t="s">
        <v>715</v>
      </c>
      <c r="K258" t="s">
        <v>270</v>
      </c>
      <c r="M258" t="s">
        <v>270</v>
      </c>
      <c r="O258" t="s">
        <v>270</v>
      </c>
      <c r="R258" t="s">
        <v>1654</v>
      </c>
      <c r="S258" t="b">
        <f>COUNTIF(D:D,R258)&gt;0</f>
        <v>0</v>
      </c>
    </row>
    <row r="259" spans="1:19" x14ac:dyDescent="0.2">
      <c r="A259" t="s">
        <v>672</v>
      </c>
      <c r="B259" t="s">
        <v>679</v>
      </c>
      <c r="C259" t="s">
        <v>726</v>
      </c>
      <c r="D259" t="s">
        <v>727</v>
      </c>
      <c r="E259" t="b">
        <f>COUNTIF(R:R,D259)&gt;0</f>
        <v>1</v>
      </c>
      <c r="F259" t="str">
        <f t="shared" ref="F259:F322" si="4">IF(COUNTIF(C259,"*hybrid*")&gt;0,
     IF(COUNTIF(D259,"*hybrid*")&gt;0,"OK","Mismatch"),
     "OK")</f>
        <v>OK</v>
      </c>
      <c r="G259" t="s">
        <v>18</v>
      </c>
      <c r="H259" s="1">
        <v>0.5</v>
      </c>
      <c r="I259" t="s">
        <v>715</v>
      </c>
      <c r="K259" t="s">
        <v>270</v>
      </c>
      <c r="M259" t="s">
        <v>236</v>
      </c>
      <c r="O259" t="s">
        <v>236</v>
      </c>
      <c r="R259" t="s">
        <v>549</v>
      </c>
      <c r="S259" t="b">
        <f>COUNTIF(D:D,R259)&gt;0</f>
        <v>1</v>
      </c>
    </row>
    <row r="260" spans="1:19" x14ac:dyDescent="0.2">
      <c r="A260" t="s">
        <v>672</v>
      </c>
      <c r="B260" t="s">
        <v>679</v>
      </c>
      <c r="C260" t="s">
        <v>728</v>
      </c>
      <c r="D260" t="s">
        <v>727</v>
      </c>
      <c r="E260" t="b">
        <f>COUNTIF(R:R,D260)&gt;0</f>
        <v>1</v>
      </c>
      <c r="F260" t="str">
        <f t="shared" si="4"/>
        <v>OK</v>
      </c>
      <c r="G260" t="s">
        <v>18</v>
      </c>
      <c r="H260" s="1">
        <v>0.6</v>
      </c>
      <c r="K260" t="s">
        <v>270</v>
      </c>
      <c r="M260" t="s">
        <v>270</v>
      </c>
      <c r="O260" t="s">
        <v>270</v>
      </c>
      <c r="R260" t="s">
        <v>1687</v>
      </c>
      <c r="S260" t="b">
        <f>COUNTIF(D:D,R260)&gt;0</f>
        <v>0</v>
      </c>
    </row>
    <row r="261" spans="1:19" x14ac:dyDescent="0.2">
      <c r="A261" t="s">
        <v>672</v>
      </c>
      <c r="B261" t="s">
        <v>679</v>
      </c>
      <c r="C261" t="s">
        <v>728</v>
      </c>
      <c r="D261" t="s">
        <v>727</v>
      </c>
      <c r="E261" t="b">
        <f>COUNTIF(R:R,D261)&gt;0</f>
        <v>1</v>
      </c>
      <c r="F261" t="str">
        <f t="shared" si="4"/>
        <v>OK</v>
      </c>
      <c r="G261" t="s">
        <v>18</v>
      </c>
      <c r="H261" s="1">
        <v>0.6</v>
      </c>
      <c r="K261" t="s">
        <v>270</v>
      </c>
      <c r="M261" t="s">
        <v>270</v>
      </c>
      <c r="O261" t="s">
        <v>270</v>
      </c>
      <c r="R261" t="s">
        <v>561</v>
      </c>
      <c r="S261" t="b">
        <f>COUNTIF(D:D,R261)&gt;0</f>
        <v>1</v>
      </c>
    </row>
    <row r="262" spans="1:19" x14ac:dyDescent="0.2">
      <c r="A262" t="s">
        <v>672</v>
      </c>
      <c r="B262" t="s">
        <v>679</v>
      </c>
      <c r="C262" t="s">
        <v>728</v>
      </c>
      <c r="D262" t="s">
        <v>727</v>
      </c>
      <c r="E262" t="b">
        <f>COUNTIF(R:R,D262)&gt;0</f>
        <v>1</v>
      </c>
      <c r="F262" t="str">
        <f t="shared" si="4"/>
        <v>OK</v>
      </c>
      <c r="G262" t="s">
        <v>18</v>
      </c>
      <c r="H262" s="1">
        <v>0.6</v>
      </c>
      <c r="K262" t="s">
        <v>270</v>
      </c>
      <c r="M262" t="s">
        <v>236</v>
      </c>
      <c r="O262" t="s">
        <v>236</v>
      </c>
      <c r="R262" t="s">
        <v>568</v>
      </c>
      <c r="S262" t="b">
        <f>COUNTIF(D:D,R262)&gt;0</f>
        <v>1</v>
      </c>
    </row>
    <row r="263" spans="1:19" x14ac:dyDescent="0.2">
      <c r="A263" t="s">
        <v>672</v>
      </c>
      <c r="B263" t="s">
        <v>679</v>
      </c>
      <c r="C263" t="s">
        <v>729</v>
      </c>
      <c r="D263" t="s">
        <v>1632</v>
      </c>
      <c r="E263" t="b">
        <f>COUNTIF(R:R,D263)&gt;0</f>
        <v>1</v>
      </c>
      <c r="F263" t="str">
        <f t="shared" si="4"/>
        <v>OK</v>
      </c>
      <c r="G263" t="s">
        <v>18</v>
      </c>
      <c r="H263" s="1">
        <v>0.45</v>
      </c>
      <c r="I263" t="s">
        <v>699</v>
      </c>
      <c r="K263" t="s">
        <v>270</v>
      </c>
      <c r="M263" t="s">
        <v>236</v>
      </c>
      <c r="O263" t="s">
        <v>236</v>
      </c>
      <c r="R263" t="s">
        <v>1693</v>
      </c>
      <c r="S263" t="b">
        <f>COUNTIF(D:D,R263)&gt;0</f>
        <v>0</v>
      </c>
    </row>
    <row r="264" spans="1:19" x14ac:dyDescent="0.2">
      <c r="A264" t="s">
        <v>672</v>
      </c>
      <c r="B264" t="s">
        <v>679</v>
      </c>
      <c r="C264" t="s">
        <v>730</v>
      </c>
      <c r="D264" t="s">
        <v>1632</v>
      </c>
      <c r="E264" t="b">
        <f>COUNTIF(R:R,D264)&gt;0</f>
        <v>1</v>
      </c>
      <c r="F264" t="str">
        <f t="shared" si="4"/>
        <v>OK</v>
      </c>
      <c r="G264" t="s">
        <v>18</v>
      </c>
      <c r="H264" s="1">
        <v>0.45</v>
      </c>
      <c r="I264" t="s">
        <v>699</v>
      </c>
      <c r="K264" t="s">
        <v>270</v>
      </c>
      <c r="M264" t="s">
        <v>236</v>
      </c>
      <c r="O264" t="s">
        <v>236</v>
      </c>
      <c r="R264" t="s">
        <v>469</v>
      </c>
      <c r="S264" t="b">
        <f>COUNTIF(D:D,R264)&gt;0</f>
        <v>1</v>
      </c>
    </row>
    <row r="265" spans="1:19" x14ac:dyDescent="0.2">
      <c r="A265" t="s">
        <v>672</v>
      </c>
      <c r="B265" t="s">
        <v>679</v>
      </c>
      <c r="C265" t="s">
        <v>731</v>
      </c>
      <c r="D265" t="s">
        <v>732</v>
      </c>
      <c r="E265" t="b">
        <f>COUNTIF(R:R,D265)&gt;0</f>
        <v>0</v>
      </c>
      <c r="F265" t="str">
        <f t="shared" si="4"/>
        <v>OK</v>
      </c>
      <c r="G265" t="s">
        <v>18</v>
      </c>
      <c r="H265" s="1">
        <v>0.1</v>
      </c>
      <c r="I265" t="s">
        <v>733</v>
      </c>
      <c r="K265" t="s">
        <v>236</v>
      </c>
      <c r="M265" t="s">
        <v>236</v>
      </c>
      <c r="O265" t="s">
        <v>236</v>
      </c>
      <c r="R265" t="s">
        <v>466</v>
      </c>
      <c r="S265" t="b">
        <f>COUNTIF(D:D,R265)&gt;0</f>
        <v>1</v>
      </c>
    </row>
    <row r="266" spans="1:19" x14ac:dyDescent="0.2">
      <c r="A266" t="s">
        <v>734</v>
      </c>
      <c r="B266" t="s">
        <v>735</v>
      </c>
      <c r="C266" t="s">
        <v>736</v>
      </c>
      <c r="D266" t="s">
        <v>737</v>
      </c>
      <c r="E266" t="b">
        <f>COUNTIF(R:R,D266)&gt;0</f>
        <v>1</v>
      </c>
      <c r="F266" t="str">
        <f t="shared" si="4"/>
        <v>OK</v>
      </c>
      <c r="G266" t="s">
        <v>18</v>
      </c>
      <c r="H266" s="1">
        <v>0.05</v>
      </c>
      <c r="I266" t="s">
        <v>524</v>
      </c>
      <c r="J266" t="s">
        <v>738</v>
      </c>
      <c r="K266" t="s">
        <v>487</v>
      </c>
      <c r="M266" t="s">
        <v>487</v>
      </c>
      <c r="O266" t="s">
        <v>594</v>
      </c>
      <c r="P266" t="s">
        <v>487</v>
      </c>
      <c r="R266" t="s">
        <v>475</v>
      </c>
      <c r="S266" t="b">
        <f>COUNTIF(D:D,R266)&gt;0</f>
        <v>1</v>
      </c>
    </row>
    <row r="267" spans="1:19" x14ac:dyDescent="0.2">
      <c r="A267" t="s">
        <v>734</v>
      </c>
      <c r="B267" t="s">
        <v>735</v>
      </c>
      <c r="C267" t="s">
        <v>739</v>
      </c>
      <c r="D267" t="s">
        <v>740</v>
      </c>
      <c r="E267" t="b">
        <f>COUNTIF(R:R,D267)&gt;0</f>
        <v>0</v>
      </c>
      <c r="F267" t="str">
        <f t="shared" si="4"/>
        <v>OK</v>
      </c>
      <c r="G267" t="s">
        <v>18</v>
      </c>
      <c r="R267" t="s">
        <v>472</v>
      </c>
      <c r="S267" t="b">
        <f>COUNTIF(D:D,R267)&gt;0</f>
        <v>1</v>
      </c>
    </row>
    <row r="268" spans="1:19" x14ac:dyDescent="0.2">
      <c r="A268" t="s">
        <v>734</v>
      </c>
      <c r="B268" t="s">
        <v>735</v>
      </c>
      <c r="C268" t="s">
        <v>741</v>
      </c>
      <c r="D268" t="s">
        <v>742</v>
      </c>
      <c r="E268" t="b">
        <f>COUNTIF(R:R,D268)&gt;0</f>
        <v>1</v>
      </c>
      <c r="F268" t="str">
        <f t="shared" si="4"/>
        <v>OK</v>
      </c>
      <c r="G268" t="s">
        <v>18</v>
      </c>
      <c r="H268" s="1">
        <v>0</v>
      </c>
      <c r="I268" t="s">
        <v>743</v>
      </c>
      <c r="K268" t="s">
        <v>594</v>
      </c>
      <c r="M268" t="s">
        <v>594</v>
      </c>
      <c r="O268" t="s">
        <v>594</v>
      </c>
      <c r="R268" t="s">
        <v>986</v>
      </c>
      <c r="S268" t="b">
        <f>COUNTIF(D:D,R268)&gt;0</f>
        <v>1</v>
      </c>
    </row>
    <row r="269" spans="1:19" x14ac:dyDescent="0.2">
      <c r="A269" t="s">
        <v>734</v>
      </c>
      <c r="B269" t="s">
        <v>735</v>
      </c>
      <c r="C269" t="s">
        <v>744</v>
      </c>
      <c r="D269" t="s">
        <v>745</v>
      </c>
      <c r="E269" t="b">
        <f>COUNTIF(R:R,D269)&gt;0</f>
        <v>1</v>
      </c>
      <c r="F269" t="str">
        <f t="shared" si="4"/>
        <v>OK</v>
      </c>
      <c r="G269" t="s">
        <v>18</v>
      </c>
      <c r="H269" s="1">
        <v>0</v>
      </c>
      <c r="I269" t="s">
        <v>743</v>
      </c>
      <c r="K269" t="s">
        <v>594</v>
      </c>
      <c r="M269" t="s">
        <v>594</v>
      </c>
      <c r="O269" t="s">
        <v>594</v>
      </c>
      <c r="R269" t="s">
        <v>972</v>
      </c>
      <c r="S269" t="b">
        <f>COUNTIF(D:D,R269)&gt;0</f>
        <v>1</v>
      </c>
    </row>
    <row r="270" spans="1:19" x14ac:dyDescent="0.2">
      <c r="A270" t="s">
        <v>734</v>
      </c>
      <c r="B270" t="s">
        <v>735</v>
      </c>
      <c r="C270" t="s">
        <v>746</v>
      </c>
      <c r="D270" t="s">
        <v>742</v>
      </c>
      <c r="E270" t="b">
        <f>COUNTIF(R:R,D270)&gt;0</f>
        <v>1</v>
      </c>
      <c r="F270" t="str">
        <f t="shared" si="4"/>
        <v>OK</v>
      </c>
      <c r="G270" t="s">
        <v>18</v>
      </c>
      <c r="H270" s="1">
        <v>0.55000000000000004</v>
      </c>
      <c r="I270" t="s">
        <v>747</v>
      </c>
      <c r="J270" t="s">
        <v>275</v>
      </c>
      <c r="K270" t="s">
        <v>270</v>
      </c>
      <c r="M270" t="s">
        <v>270</v>
      </c>
      <c r="O270" t="s">
        <v>146</v>
      </c>
      <c r="R270" t="s">
        <v>977</v>
      </c>
      <c r="S270" t="b">
        <f>COUNTIF(D:D,R270)&gt;0</f>
        <v>1</v>
      </c>
    </row>
    <row r="271" spans="1:19" x14ac:dyDescent="0.2">
      <c r="A271" t="s">
        <v>734</v>
      </c>
      <c r="B271" t="s">
        <v>735</v>
      </c>
      <c r="C271" t="s">
        <v>748</v>
      </c>
      <c r="D271" t="s">
        <v>749</v>
      </c>
      <c r="E271" t="b">
        <f>COUNTIF(R:R,D271)&gt;0</f>
        <v>1</v>
      </c>
      <c r="F271" t="str">
        <f t="shared" si="4"/>
        <v>OK</v>
      </c>
      <c r="G271" t="s">
        <v>18</v>
      </c>
      <c r="H271" s="1">
        <v>0.01</v>
      </c>
      <c r="I271" t="s">
        <v>750</v>
      </c>
      <c r="K271" t="s">
        <v>594</v>
      </c>
      <c r="M271" t="s">
        <v>594</v>
      </c>
      <c r="O271" t="s">
        <v>594</v>
      </c>
      <c r="R271" t="s">
        <v>979</v>
      </c>
      <c r="S271" t="b">
        <f>COUNTIF(D:D,R271)&gt;0</f>
        <v>1</v>
      </c>
    </row>
    <row r="272" spans="1:19" x14ac:dyDescent="0.2">
      <c r="A272" t="s">
        <v>734</v>
      </c>
      <c r="B272" t="s">
        <v>751</v>
      </c>
      <c r="C272" t="s">
        <v>752</v>
      </c>
      <c r="D272" t="s">
        <v>753</v>
      </c>
      <c r="E272" t="b">
        <f>COUNTIF(R:R,D272)&gt;0</f>
        <v>1</v>
      </c>
      <c r="F272" t="str">
        <f t="shared" si="4"/>
        <v>OK</v>
      </c>
      <c r="G272" t="s">
        <v>18</v>
      </c>
      <c r="H272" s="1">
        <v>0</v>
      </c>
      <c r="I272" t="s">
        <v>754</v>
      </c>
      <c r="K272" t="s">
        <v>594</v>
      </c>
      <c r="M272" t="s">
        <v>594</v>
      </c>
      <c r="O272" t="s">
        <v>594</v>
      </c>
      <c r="R272" t="s">
        <v>1712</v>
      </c>
      <c r="S272" t="b">
        <f>COUNTIF(D:D,R272)&gt;0</f>
        <v>1</v>
      </c>
    </row>
    <row r="273" spans="1:19" x14ac:dyDescent="0.2">
      <c r="A273" t="s">
        <v>734</v>
      </c>
      <c r="B273" t="s">
        <v>751</v>
      </c>
      <c r="C273" t="s">
        <v>755</v>
      </c>
      <c r="D273" t="s">
        <v>756</v>
      </c>
      <c r="E273" t="b">
        <f>COUNTIF(R:R,D273)&gt;0</f>
        <v>1</v>
      </c>
      <c r="F273" t="str">
        <f t="shared" si="4"/>
        <v>OK</v>
      </c>
      <c r="G273" t="s">
        <v>18</v>
      </c>
      <c r="H273" s="1">
        <v>0.05</v>
      </c>
      <c r="I273" t="s">
        <v>750</v>
      </c>
      <c r="K273" t="s">
        <v>594</v>
      </c>
      <c r="M273" t="s">
        <v>594</v>
      </c>
      <c r="O273" t="s">
        <v>594</v>
      </c>
      <c r="R273" t="s">
        <v>990</v>
      </c>
      <c r="S273" t="b">
        <f>COUNTIF(D:D,R273)&gt;0</f>
        <v>1</v>
      </c>
    </row>
    <row r="274" spans="1:19" x14ac:dyDescent="0.2">
      <c r="A274" t="s">
        <v>734</v>
      </c>
      <c r="B274" t="s">
        <v>751</v>
      </c>
      <c r="C274" t="s">
        <v>757</v>
      </c>
      <c r="D274" t="s">
        <v>758</v>
      </c>
      <c r="E274" t="b">
        <f>COUNTIF(R:R,D274)&gt;0</f>
        <v>1</v>
      </c>
      <c r="F274" t="str">
        <f t="shared" si="4"/>
        <v>OK</v>
      </c>
      <c r="G274" t="s">
        <v>18</v>
      </c>
      <c r="H274" s="1">
        <v>0.05</v>
      </c>
      <c r="I274" t="s">
        <v>754</v>
      </c>
      <c r="K274" t="s">
        <v>594</v>
      </c>
      <c r="M274" t="s">
        <v>594</v>
      </c>
      <c r="O274" t="s">
        <v>594</v>
      </c>
      <c r="R274" t="s">
        <v>1091</v>
      </c>
      <c r="S274" t="b">
        <f>COUNTIF(D:D,R274)&gt;0</f>
        <v>1</v>
      </c>
    </row>
    <row r="275" spans="1:19" x14ac:dyDescent="0.2">
      <c r="A275" t="s">
        <v>734</v>
      </c>
      <c r="B275" t="s">
        <v>751</v>
      </c>
      <c r="C275" t="s">
        <v>759</v>
      </c>
      <c r="D275" t="s">
        <v>760</v>
      </c>
      <c r="E275" t="b">
        <f>COUNTIF(R:R,D275)&gt;0</f>
        <v>1</v>
      </c>
      <c r="F275" t="str">
        <f t="shared" si="4"/>
        <v>OK</v>
      </c>
      <c r="G275" t="s">
        <v>30</v>
      </c>
      <c r="H275" s="1">
        <v>0.05</v>
      </c>
      <c r="I275" t="s">
        <v>743</v>
      </c>
      <c r="K275" t="s">
        <v>594</v>
      </c>
      <c r="M275" t="s">
        <v>594</v>
      </c>
      <c r="O275" t="s">
        <v>594</v>
      </c>
      <c r="R275" t="s">
        <v>1085</v>
      </c>
      <c r="S275" t="b">
        <f>COUNTIF(D:D,R275)&gt;0</f>
        <v>1</v>
      </c>
    </row>
    <row r="276" spans="1:19" x14ac:dyDescent="0.2">
      <c r="A276" t="s">
        <v>734</v>
      </c>
      <c r="B276" t="s">
        <v>751</v>
      </c>
      <c r="C276" t="s">
        <v>761</v>
      </c>
      <c r="D276" t="s">
        <v>762</v>
      </c>
      <c r="E276" t="b">
        <f>COUNTIF(R:R,D276)&gt;0</f>
        <v>1</v>
      </c>
      <c r="F276" t="str">
        <f t="shared" si="4"/>
        <v>OK</v>
      </c>
      <c r="G276" t="s">
        <v>30</v>
      </c>
      <c r="H276" s="1">
        <v>0.02</v>
      </c>
      <c r="I276" t="s">
        <v>754</v>
      </c>
      <c r="K276" t="s">
        <v>594</v>
      </c>
      <c r="M276" t="s">
        <v>594</v>
      </c>
      <c r="O276" t="s">
        <v>594</v>
      </c>
      <c r="R276" t="s">
        <v>994</v>
      </c>
      <c r="S276" t="b">
        <f>COUNTIF(D:D,R276)&gt;0</f>
        <v>1</v>
      </c>
    </row>
    <row r="277" spans="1:19" x14ac:dyDescent="0.2">
      <c r="A277" t="s">
        <v>734</v>
      </c>
      <c r="B277" t="s">
        <v>735</v>
      </c>
      <c r="C277" t="s">
        <v>763</v>
      </c>
      <c r="D277" t="s">
        <v>764</v>
      </c>
      <c r="E277" t="b">
        <f>COUNTIF(R:R,D277)&gt;0</f>
        <v>1</v>
      </c>
      <c r="F277" t="str">
        <f t="shared" si="4"/>
        <v>OK</v>
      </c>
      <c r="G277" t="s">
        <v>18</v>
      </c>
      <c r="H277" s="1">
        <v>0.02</v>
      </c>
      <c r="I277" t="s">
        <v>750</v>
      </c>
      <c r="K277" t="s">
        <v>594</v>
      </c>
      <c r="M277" t="s">
        <v>594</v>
      </c>
      <c r="O277" t="s">
        <v>594</v>
      </c>
      <c r="R277" t="s">
        <v>1043</v>
      </c>
      <c r="S277" t="b">
        <f>COUNTIF(D:D,R277)&gt;0</f>
        <v>1</v>
      </c>
    </row>
    <row r="278" spans="1:19" x14ac:dyDescent="0.2">
      <c r="A278" t="s">
        <v>734</v>
      </c>
      <c r="B278" t="s">
        <v>735</v>
      </c>
      <c r="C278" t="s">
        <v>765</v>
      </c>
      <c r="D278" t="s">
        <v>1677</v>
      </c>
      <c r="E278" t="b">
        <f>COUNTIF(R:R,D278)&gt;0</f>
        <v>1</v>
      </c>
      <c r="F278" t="str">
        <f t="shared" si="4"/>
        <v>OK</v>
      </c>
      <c r="G278" t="s">
        <v>18</v>
      </c>
      <c r="H278" s="1">
        <v>0</v>
      </c>
      <c r="I278" t="s">
        <v>766</v>
      </c>
      <c r="J278" t="s">
        <v>55</v>
      </c>
      <c r="K278" t="s">
        <v>594</v>
      </c>
      <c r="M278" t="s">
        <v>594</v>
      </c>
      <c r="O278" t="s">
        <v>594</v>
      </c>
      <c r="R278" t="s">
        <v>1019</v>
      </c>
      <c r="S278" t="b">
        <f>COUNTIF(D:D,R278)&gt;0</f>
        <v>1</v>
      </c>
    </row>
    <row r="279" spans="1:19" x14ac:dyDescent="0.2">
      <c r="A279" t="s">
        <v>734</v>
      </c>
      <c r="B279" t="s">
        <v>735</v>
      </c>
      <c r="C279" t="s">
        <v>767</v>
      </c>
      <c r="D279" t="s">
        <v>764</v>
      </c>
      <c r="E279" t="b">
        <f>COUNTIF(R:R,D279)&gt;0</f>
        <v>1</v>
      </c>
      <c r="F279" t="str">
        <f t="shared" si="4"/>
        <v>OK</v>
      </c>
      <c r="G279" t="s">
        <v>18</v>
      </c>
      <c r="H279" s="1">
        <v>0.01</v>
      </c>
      <c r="I279" t="s">
        <v>750</v>
      </c>
      <c r="K279" t="s">
        <v>594</v>
      </c>
      <c r="M279" t="s">
        <v>594</v>
      </c>
      <c r="O279" t="s">
        <v>594</v>
      </c>
      <c r="R279" t="s">
        <v>1009</v>
      </c>
      <c r="S279" t="b">
        <f>COUNTIF(D:D,R279)&gt;0</f>
        <v>1</v>
      </c>
    </row>
    <row r="280" spans="1:19" x14ac:dyDescent="0.2">
      <c r="A280" t="s">
        <v>734</v>
      </c>
      <c r="B280" t="s">
        <v>735</v>
      </c>
      <c r="C280" t="s">
        <v>768</v>
      </c>
      <c r="D280" t="s">
        <v>769</v>
      </c>
      <c r="E280" t="b">
        <f>COUNTIF(R:R,D280)&gt;0</f>
        <v>1</v>
      </c>
      <c r="F280" t="str">
        <f t="shared" si="4"/>
        <v>OK</v>
      </c>
      <c r="G280" t="s">
        <v>30</v>
      </c>
      <c r="H280" s="1">
        <v>0</v>
      </c>
      <c r="I280" t="s">
        <v>743</v>
      </c>
      <c r="K280" t="s">
        <v>594</v>
      </c>
      <c r="M280" t="s">
        <v>594</v>
      </c>
      <c r="N280" t="s">
        <v>55</v>
      </c>
      <c r="O280" t="s">
        <v>594</v>
      </c>
      <c r="R280" t="s">
        <v>1694</v>
      </c>
      <c r="S280" t="b">
        <f>COUNTIF(D:D,R280)&gt;0</f>
        <v>0</v>
      </c>
    </row>
    <row r="281" spans="1:19" x14ac:dyDescent="0.2">
      <c r="A281" t="s">
        <v>734</v>
      </c>
      <c r="B281" t="s">
        <v>735</v>
      </c>
      <c r="C281" t="s">
        <v>770</v>
      </c>
      <c r="D281" t="s">
        <v>771</v>
      </c>
      <c r="E281" t="b">
        <f>COUNTIF(R:R,D281)&gt;0</f>
        <v>1</v>
      </c>
      <c r="F281" t="str">
        <f t="shared" si="4"/>
        <v>OK</v>
      </c>
      <c r="G281" t="s">
        <v>30</v>
      </c>
      <c r="H281" s="1">
        <v>0.02</v>
      </c>
      <c r="I281" t="s">
        <v>743</v>
      </c>
      <c r="K281" t="s">
        <v>594</v>
      </c>
      <c r="M281" t="s">
        <v>594</v>
      </c>
      <c r="N281" t="s">
        <v>55</v>
      </c>
      <c r="O281" t="s">
        <v>594</v>
      </c>
      <c r="R281" t="s">
        <v>1681</v>
      </c>
      <c r="S281" t="b">
        <f>COUNTIF(D:D,R281)&gt;0</f>
        <v>1</v>
      </c>
    </row>
    <row r="282" spans="1:19" x14ac:dyDescent="0.2">
      <c r="A282" t="s">
        <v>734</v>
      </c>
      <c r="B282" t="s">
        <v>735</v>
      </c>
      <c r="C282" t="s">
        <v>772</v>
      </c>
      <c r="D282" t="s">
        <v>773</v>
      </c>
      <c r="E282" t="b">
        <f>COUNTIF(R:R,D282)&gt;0</f>
        <v>1</v>
      </c>
      <c r="F282" t="str">
        <f t="shared" si="4"/>
        <v>OK</v>
      </c>
      <c r="G282" t="s">
        <v>30</v>
      </c>
      <c r="H282" s="1">
        <v>0</v>
      </c>
      <c r="I282" t="s">
        <v>774</v>
      </c>
      <c r="K282" t="s">
        <v>594</v>
      </c>
      <c r="M282" t="s">
        <v>594</v>
      </c>
      <c r="N282" t="s">
        <v>55</v>
      </c>
      <c r="O282" t="s">
        <v>594</v>
      </c>
      <c r="R282" t="s">
        <v>1077</v>
      </c>
      <c r="S282" t="b">
        <f>COUNTIF(D:D,R282)&gt;0</f>
        <v>1</v>
      </c>
    </row>
    <row r="283" spans="1:19" x14ac:dyDescent="0.2">
      <c r="A283" t="s">
        <v>734</v>
      </c>
      <c r="B283" t="s">
        <v>735</v>
      </c>
      <c r="C283" t="s">
        <v>775</v>
      </c>
      <c r="D283" t="s">
        <v>776</v>
      </c>
      <c r="E283" t="b">
        <f>COUNTIF(R:R,D283)&gt;0</f>
        <v>1</v>
      </c>
      <c r="F283" t="str">
        <f t="shared" si="4"/>
        <v>OK</v>
      </c>
      <c r="G283" t="s">
        <v>30</v>
      </c>
      <c r="H283" s="1">
        <v>0</v>
      </c>
      <c r="I283" t="s">
        <v>766</v>
      </c>
      <c r="K283" t="s">
        <v>594</v>
      </c>
      <c r="M283" t="s">
        <v>594</v>
      </c>
      <c r="O283" t="s">
        <v>594</v>
      </c>
      <c r="R283" t="s">
        <v>1051</v>
      </c>
      <c r="S283" t="b">
        <f>COUNTIF(D:D,R283)&gt;0</f>
        <v>1</v>
      </c>
    </row>
    <row r="284" spans="1:19" x14ac:dyDescent="0.2">
      <c r="A284" t="s">
        <v>734</v>
      </c>
      <c r="B284" t="s">
        <v>735</v>
      </c>
      <c r="C284" t="s">
        <v>777</v>
      </c>
      <c r="D284" t="s">
        <v>778</v>
      </c>
      <c r="E284" t="b">
        <f>COUNTIF(R:R,D284)&gt;0</f>
        <v>1</v>
      </c>
      <c r="F284" t="str">
        <f t="shared" si="4"/>
        <v>OK</v>
      </c>
      <c r="G284" t="s">
        <v>30</v>
      </c>
      <c r="R284" t="s">
        <v>1095</v>
      </c>
      <c r="S284" t="b">
        <f>COUNTIF(D:D,R284)&gt;0</f>
        <v>1</v>
      </c>
    </row>
    <row r="285" spans="1:19" x14ac:dyDescent="0.2">
      <c r="A285" t="s">
        <v>734</v>
      </c>
      <c r="B285" t="s">
        <v>735</v>
      </c>
      <c r="C285" t="s">
        <v>779</v>
      </c>
      <c r="D285" t="s">
        <v>778</v>
      </c>
      <c r="E285" t="b">
        <f>COUNTIF(R:R,D285)&gt;0</f>
        <v>1</v>
      </c>
      <c r="F285" t="str">
        <f t="shared" si="4"/>
        <v>OK</v>
      </c>
      <c r="G285" t="s">
        <v>30</v>
      </c>
      <c r="H285" s="1">
        <v>0.5</v>
      </c>
      <c r="I285" t="s">
        <v>780</v>
      </c>
      <c r="K285" t="s">
        <v>270</v>
      </c>
      <c r="M285" t="s">
        <v>270</v>
      </c>
      <c r="O285" t="s">
        <v>270</v>
      </c>
      <c r="P285" t="s">
        <v>594</v>
      </c>
      <c r="R285" t="s">
        <v>1055</v>
      </c>
      <c r="S285" t="b">
        <f>COUNTIF(D:D,R285)&gt;0</f>
        <v>1</v>
      </c>
    </row>
    <row r="286" spans="1:19" x14ac:dyDescent="0.2">
      <c r="A286" t="s">
        <v>734</v>
      </c>
      <c r="B286" t="s">
        <v>735</v>
      </c>
      <c r="C286" t="s">
        <v>781</v>
      </c>
      <c r="D286" t="s">
        <v>782</v>
      </c>
      <c r="E286" t="b">
        <f>COUNTIF(R:R,D286)&gt;0</f>
        <v>1</v>
      </c>
      <c r="F286" t="str">
        <f t="shared" si="4"/>
        <v>OK</v>
      </c>
      <c r="G286" t="s">
        <v>30</v>
      </c>
      <c r="H286" s="1">
        <v>0</v>
      </c>
      <c r="I286" t="s">
        <v>754</v>
      </c>
      <c r="K286" t="s">
        <v>594</v>
      </c>
      <c r="M286" t="s">
        <v>594</v>
      </c>
      <c r="O286" t="s">
        <v>594</v>
      </c>
      <c r="P286" t="s">
        <v>55</v>
      </c>
      <c r="R286" t="s">
        <v>1068</v>
      </c>
      <c r="S286" t="b">
        <f>COUNTIF(D:D,R286)&gt;0</f>
        <v>1</v>
      </c>
    </row>
    <row r="287" spans="1:19" x14ac:dyDescent="0.2">
      <c r="A287" t="s">
        <v>734</v>
      </c>
      <c r="B287" t="s">
        <v>735</v>
      </c>
      <c r="C287" t="s">
        <v>783</v>
      </c>
      <c r="D287" t="s">
        <v>782</v>
      </c>
      <c r="E287" t="b">
        <f>COUNTIF(R:R,D287)&gt;0</f>
        <v>1</v>
      </c>
      <c r="F287" t="str">
        <f t="shared" si="4"/>
        <v>OK</v>
      </c>
      <c r="G287" t="s">
        <v>30</v>
      </c>
      <c r="H287" s="1">
        <v>0</v>
      </c>
      <c r="I287" t="s">
        <v>750</v>
      </c>
      <c r="K287" t="s">
        <v>594</v>
      </c>
      <c r="M287" t="s">
        <v>594</v>
      </c>
      <c r="O287" t="s">
        <v>594</v>
      </c>
      <c r="P287" t="s">
        <v>55</v>
      </c>
      <c r="R287" t="s">
        <v>1080</v>
      </c>
      <c r="S287" t="b">
        <f>COUNTIF(D:D,R287)&gt;0</f>
        <v>1</v>
      </c>
    </row>
    <row r="288" spans="1:19" x14ac:dyDescent="0.2">
      <c r="A288" t="s">
        <v>734</v>
      </c>
      <c r="B288" t="s">
        <v>735</v>
      </c>
      <c r="C288" t="s">
        <v>784</v>
      </c>
      <c r="D288" t="s">
        <v>785</v>
      </c>
      <c r="E288" t="b">
        <f>COUNTIF(R:R,D288)&gt;0</f>
        <v>1</v>
      </c>
      <c r="F288" t="str">
        <f t="shared" si="4"/>
        <v>OK</v>
      </c>
      <c r="G288" t="s">
        <v>18</v>
      </c>
      <c r="H288" s="1">
        <v>0.01</v>
      </c>
      <c r="I288" t="s">
        <v>743</v>
      </c>
      <c r="K288" t="s">
        <v>594</v>
      </c>
      <c r="M288" t="s">
        <v>594</v>
      </c>
      <c r="O288" t="s">
        <v>594</v>
      </c>
      <c r="R288" t="s">
        <v>1684</v>
      </c>
      <c r="S288" t="b">
        <f>COUNTIF(D:D,R288)&gt;0</f>
        <v>1</v>
      </c>
    </row>
    <row r="289" spans="1:19" x14ac:dyDescent="0.2">
      <c r="A289" t="s">
        <v>734</v>
      </c>
      <c r="B289" t="s">
        <v>735</v>
      </c>
      <c r="C289" t="s">
        <v>786</v>
      </c>
      <c r="D289" t="s">
        <v>787</v>
      </c>
      <c r="E289" t="b">
        <f>COUNTIF(R:R,D289)&gt;0</f>
        <v>1</v>
      </c>
      <c r="F289" t="str">
        <f t="shared" si="4"/>
        <v>OK</v>
      </c>
      <c r="G289" t="s">
        <v>18</v>
      </c>
      <c r="H289" s="1">
        <v>0</v>
      </c>
      <c r="I289" t="s">
        <v>743</v>
      </c>
      <c r="K289" t="s">
        <v>594</v>
      </c>
      <c r="M289" t="s">
        <v>594</v>
      </c>
      <c r="O289" t="s">
        <v>594</v>
      </c>
      <c r="R289" t="s">
        <v>1023</v>
      </c>
      <c r="S289" t="b">
        <f>COUNTIF(D:D,R289)&gt;0</f>
        <v>1</v>
      </c>
    </row>
    <row r="290" spans="1:19" x14ac:dyDescent="0.2">
      <c r="A290" t="s">
        <v>734</v>
      </c>
      <c r="B290" t="s">
        <v>735</v>
      </c>
      <c r="C290" t="s">
        <v>786</v>
      </c>
      <c r="D290" t="s">
        <v>787</v>
      </c>
      <c r="E290" t="b">
        <f>COUNTIF(R:R,D290)&gt;0</f>
        <v>1</v>
      </c>
      <c r="F290" t="str">
        <f t="shared" si="4"/>
        <v>OK</v>
      </c>
      <c r="G290" t="s">
        <v>18</v>
      </c>
      <c r="H290" s="1">
        <v>0.45</v>
      </c>
      <c r="I290" t="s">
        <v>780</v>
      </c>
      <c r="K290" t="s">
        <v>270</v>
      </c>
      <c r="M290" t="s">
        <v>270</v>
      </c>
      <c r="O290" t="s">
        <v>270</v>
      </c>
      <c r="R290" t="s">
        <v>1035</v>
      </c>
      <c r="S290" t="b">
        <f>COUNTIF(D:D,R290)&gt;0</f>
        <v>1</v>
      </c>
    </row>
    <row r="291" spans="1:19" x14ac:dyDescent="0.2">
      <c r="A291" t="s">
        <v>734</v>
      </c>
      <c r="B291" t="s">
        <v>735</v>
      </c>
      <c r="C291" t="s">
        <v>788</v>
      </c>
      <c r="D291" t="s">
        <v>789</v>
      </c>
      <c r="E291" t="b">
        <f>COUNTIF(R:R,D291)&gt;0</f>
        <v>1</v>
      </c>
      <c r="F291" t="str">
        <f t="shared" si="4"/>
        <v>OK</v>
      </c>
      <c r="G291" t="s">
        <v>30</v>
      </c>
      <c r="H291" s="1">
        <v>0.55000000000000004</v>
      </c>
      <c r="I291" t="s">
        <v>790</v>
      </c>
      <c r="K291" t="s">
        <v>270</v>
      </c>
      <c r="M291" t="s">
        <v>270</v>
      </c>
      <c r="O291" t="s">
        <v>270</v>
      </c>
      <c r="P291" t="s">
        <v>594</v>
      </c>
      <c r="R291" t="s">
        <v>311</v>
      </c>
      <c r="S291" t="b">
        <f>COUNTIF(D:D,R291)&gt;0</f>
        <v>1</v>
      </c>
    </row>
    <row r="292" spans="1:19" x14ac:dyDescent="0.2">
      <c r="A292" t="s">
        <v>734</v>
      </c>
      <c r="B292" t="s">
        <v>735</v>
      </c>
      <c r="C292" t="s">
        <v>791</v>
      </c>
      <c r="D292" t="s">
        <v>792</v>
      </c>
      <c r="E292" t="b">
        <f>COUNTIF(R:R,D292)&gt;0</f>
        <v>1</v>
      </c>
      <c r="F292" t="str">
        <f t="shared" si="4"/>
        <v>OK</v>
      </c>
      <c r="G292" t="s">
        <v>30</v>
      </c>
      <c r="H292" s="1">
        <v>0</v>
      </c>
      <c r="I292" t="s">
        <v>743</v>
      </c>
      <c r="K292" t="s">
        <v>594</v>
      </c>
      <c r="M292" t="s">
        <v>594</v>
      </c>
      <c r="O292" t="s">
        <v>594</v>
      </c>
      <c r="R292" t="s">
        <v>1658</v>
      </c>
      <c r="S292" t="b">
        <f>COUNTIF(D:D,R292)&gt;0</f>
        <v>0</v>
      </c>
    </row>
    <row r="293" spans="1:19" x14ac:dyDescent="0.2">
      <c r="A293" t="s">
        <v>734</v>
      </c>
      <c r="B293" t="s">
        <v>735</v>
      </c>
      <c r="C293" t="s">
        <v>793</v>
      </c>
      <c r="D293" t="s">
        <v>794</v>
      </c>
      <c r="E293" t="b">
        <f>COUNTIF(R:R,D293)&gt;0</f>
        <v>1</v>
      </c>
      <c r="F293" t="str">
        <f t="shared" si="4"/>
        <v>OK</v>
      </c>
      <c r="G293" t="s">
        <v>30</v>
      </c>
      <c r="H293" s="1">
        <v>0</v>
      </c>
      <c r="I293" t="s">
        <v>743</v>
      </c>
      <c r="K293" t="s">
        <v>594</v>
      </c>
      <c r="M293" t="s">
        <v>594</v>
      </c>
      <c r="O293" t="s">
        <v>594</v>
      </c>
      <c r="R293" t="s">
        <v>1103</v>
      </c>
      <c r="S293" t="b">
        <f>COUNTIF(D:D,R293)&gt;0</f>
        <v>1</v>
      </c>
    </row>
    <row r="294" spans="1:19" x14ac:dyDescent="0.2">
      <c r="A294" t="s">
        <v>734</v>
      </c>
      <c r="B294" t="s">
        <v>735</v>
      </c>
      <c r="C294" t="s">
        <v>795</v>
      </c>
      <c r="D294" t="s">
        <v>794</v>
      </c>
      <c r="E294" t="b">
        <f>COUNTIF(R:R,D294)&gt;0</f>
        <v>1</v>
      </c>
      <c r="F294" t="str">
        <f t="shared" si="4"/>
        <v>OK</v>
      </c>
      <c r="G294" t="s">
        <v>30</v>
      </c>
      <c r="H294" s="1">
        <v>0</v>
      </c>
      <c r="I294" t="s">
        <v>743</v>
      </c>
      <c r="K294" t="s">
        <v>594</v>
      </c>
      <c r="M294" t="s">
        <v>594</v>
      </c>
      <c r="O294" t="s">
        <v>594</v>
      </c>
      <c r="R294" t="s">
        <v>1117</v>
      </c>
      <c r="S294" t="b">
        <f>COUNTIF(D:D,R294)&gt;0</f>
        <v>1</v>
      </c>
    </row>
    <row r="295" spans="1:19" x14ac:dyDescent="0.2">
      <c r="A295" t="s">
        <v>734</v>
      </c>
      <c r="B295" t="s">
        <v>735</v>
      </c>
      <c r="C295" t="s">
        <v>796</v>
      </c>
      <c r="D295" t="s">
        <v>797</v>
      </c>
      <c r="E295" t="b">
        <f>COUNTIF(R:R,D295)&gt;0</f>
        <v>0</v>
      </c>
      <c r="F295" t="str">
        <f t="shared" si="4"/>
        <v>OK</v>
      </c>
      <c r="G295" t="s">
        <v>18</v>
      </c>
      <c r="H295" s="1">
        <v>0</v>
      </c>
      <c r="I295" t="s">
        <v>750</v>
      </c>
      <c r="K295" t="s">
        <v>594</v>
      </c>
      <c r="M295" t="s">
        <v>594</v>
      </c>
      <c r="O295" t="s">
        <v>594</v>
      </c>
      <c r="R295" t="s">
        <v>1131</v>
      </c>
      <c r="S295" t="b">
        <f>COUNTIF(D:D,R295)&gt;0</f>
        <v>1</v>
      </c>
    </row>
    <row r="296" spans="1:19" x14ac:dyDescent="0.2">
      <c r="A296" t="s">
        <v>734</v>
      </c>
      <c r="B296" t="s">
        <v>735</v>
      </c>
      <c r="C296" t="s">
        <v>798</v>
      </c>
      <c r="D296" t="s">
        <v>799</v>
      </c>
      <c r="E296" t="b">
        <f>COUNTIF(R:R,D296)&gt;0</f>
        <v>1</v>
      </c>
      <c r="F296" t="str">
        <f t="shared" si="4"/>
        <v>OK</v>
      </c>
      <c r="G296" t="s">
        <v>18</v>
      </c>
      <c r="H296" s="1">
        <v>0</v>
      </c>
      <c r="I296" t="s">
        <v>743</v>
      </c>
      <c r="K296" t="s">
        <v>594</v>
      </c>
      <c r="M296" t="s">
        <v>594</v>
      </c>
      <c r="O296" t="s">
        <v>594</v>
      </c>
      <c r="R296" t="s">
        <v>1144</v>
      </c>
      <c r="S296" t="b">
        <f>COUNTIF(D:D,R296)&gt;0</f>
        <v>1</v>
      </c>
    </row>
    <row r="297" spans="1:19" x14ac:dyDescent="0.2">
      <c r="A297" t="s">
        <v>734</v>
      </c>
      <c r="B297" t="s">
        <v>735</v>
      </c>
      <c r="C297" t="s">
        <v>800</v>
      </c>
      <c r="D297" t="s">
        <v>785</v>
      </c>
      <c r="E297" t="b">
        <f>COUNTIF(R:R,D297)&gt;0</f>
        <v>1</v>
      </c>
      <c r="F297" t="str">
        <f t="shared" si="4"/>
        <v>OK</v>
      </c>
      <c r="G297" t="s">
        <v>18</v>
      </c>
      <c r="R297" t="s">
        <v>1189</v>
      </c>
      <c r="S297" t="b">
        <f>COUNTIF(D:D,R297)&gt;0</f>
        <v>1</v>
      </c>
    </row>
    <row r="298" spans="1:19" x14ac:dyDescent="0.2">
      <c r="A298" t="s">
        <v>734</v>
      </c>
      <c r="B298" t="s">
        <v>735</v>
      </c>
      <c r="C298" t="s">
        <v>801</v>
      </c>
      <c r="D298" t="s">
        <v>1714</v>
      </c>
      <c r="E298" t="b">
        <f>COUNTIF(R:R,D298)&gt;0</f>
        <v>1</v>
      </c>
      <c r="F298" t="str">
        <f t="shared" si="4"/>
        <v>OK</v>
      </c>
      <c r="G298" t="s">
        <v>30</v>
      </c>
      <c r="H298" s="1">
        <v>0.01</v>
      </c>
      <c r="I298" t="s">
        <v>754</v>
      </c>
      <c r="K298" t="s">
        <v>594</v>
      </c>
      <c r="M298" t="s">
        <v>594</v>
      </c>
      <c r="O298" t="s">
        <v>594</v>
      </c>
      <c r="R298" t="s">
        <v>1192</v>
      </c>
      <c r="S298" t="b">
        <f>COUNTIF(D:D,R298)&gt;0</f>
        <v>1</v>
      </c>
    </row>
    <row r="299" spans="1:19" x14ac:dyDescent="0.2">
      <c r="A299" t="s">
        <v>734</v>
      </c>
      <c r="B299" t="s">
        <v>735</v>
      </c>
      <c r="C299" t="s">
        <v>802</v>
      </c>
      <c r="D299" t="s">
        <v>803</v>
      </c>
      <c r="E299" t="b">
        <f>COUNTIF(R:R,D299)&gt;0</f>
        <v>1</v>
      </c>
      <c r="F299" t="str">
        <f t="shared" si="4"/>
        <v>OK</v>
      </c>
      <c r="G299" t="s">
        <v>30</v>
      </c>
      <c r="H299" s="1">
        <v>0</v>
      </c>
      <c r="I299" t="s">
        <v>766</v>
      </c>
      <c r="K299" t="s">
        <v>594</v>
      </c>
      <c r="M299" t="s">
        <v>594</v>
      </c>
      <c r="O299" t="s">
        <v>594</v>
      </c>
      <c r="R299" t="s">
        <v>1194</v>
      </c>
      <c r="S299" t="b">
        <f>COUNTIF(D:D,R299)&gt;0</f>
        <v>1</v>
      </c>
    </row>
    <row r="300" spans="1:19" x14ac:dyDescent="0.2">
      <c r="A300" t="s">
        <v>804</v>
      </c>
      <c r="B300" t="s">
        <v>805</v>
      </c>
      <c r="C300" t="s">
        <v>806</v>
      </c>
      <c r="D300" t="s">
        <v>807</v>
      </c>
      <c r="E300" t="b">
        <f>COUNTIF(R:R,D300)&gt;0</f>
        <v>1</v>
      </c>
      <c r="F300" t="str">
        <f t="shared" si="4"/>
        <v>OK</v>
      </c>
      <c r="G300" t="s">
        <v>30</v>
      </c>
      <c r="H300" s="1">
        <v>0</v>
      </c>
      <c r="I300" t="s">
        <v>808</v>
      </c>
      <c r="J300" t="s">
        <v>298</v>
      </c>
      <c r="K300" t="s">
        <v>21</v>
      </c>
      <c r="L300" t="s">
        <v>55</v>
      </c>
      <c r="M300" t="s">
        <v>21</v>
      </c>
      <c r="N300" t="s">
        <v>55</v>
      </c>
      <c r="O300" t="s">
        <v>22</v>
      </c>
      <c r="R300" t="s">
        <v>1199</v>
      </c>
      <c r="S300" t="b">
        <f>COUNTIF(D:D,R300)&gt;0</f>
        <v>1</v>
      </c>
    </row>
    <row r="301" spans="1:19" x14ac:dyDescent="0.2">
      <c r="A301" t="s">
        <v>804</v>
      </c>
      <c r="B301" t="s">
        <v>805</v>
      </c>
      <c r="C301" t="s">
        <v>809</v>
      </c>
      <c r="D301" t="s">
        <v>807</v>
      </c>
      <c r="E301" t="b">
        <f>COUNTIF(R:R,D301)&gt;0</f>
        <v>1</v>
      </c>
      <c r="F301" t="str">
        <f t="shared" si="4"/>
        <v>OK</v>
      </c>
      <c r="G301" t="s">
        <v>30</v>
      </c>
      <c r="H301" s="1">
        <v>0</v>
      </c>
      <c r="I301" t="s">
        <v>808</v>
      </c>
      <c r="J301" t="s">
        <v>298</v>
      </c>
      <c r="K301" t="s">
        <v>21</v>
      </c>
      <c r="L301" t="s">
        <v>55</v>
      </c>
      <c r="M301" t="s">
        <v>21</v>
      </c>
      <c r="N301" t="s">
        <v>55</v>
      </c>
      <c r="O301" t="s">
        <v>22</v>
      </c>
      <c r="R301" t="s">
        <v>1652</v>
      </c>
      <c r="S301" t="b">
        <f>COUNTIF(D:D,R301)&gt;0</f>
        <v>1</v>
      </c>
    </row>
    <row r="302" spans="1:19" x14ac:dyDescent="0.2">
      <c r="A302" t="s">
        <v>804</v>
      </c>
      <c r="B302" t="s">
        <v>805</v>
      </c>
      <c r="C302" t="s">
        <v>810</v>
      </c>
      <c r="D302" t="s">
        <v>807</v>
      </c>
      <c r="E302" t="b">
        <f>COUNTIF(R:R,D302)&gt;0</f>
        <v>1</v>
      </c>
      <c r="F302" t="str">
        <f t="shared" si="4"/>
        <v>OK</v>
      </c>
      <c r="G302" t="s">
        <v>30</v>
      </c>
      <c r="H302" s="1">
        <v>0</v>
      </c>
      <c r="I302" t="s">
        <v>808</v>
      </c>
      <c r="J302" t="s">
        <v>811</v>
      </c>
      <c r="K302" t="s">
        <v>21</v>
      </c>
      <c r="L302" t="s">
        <v>55</v>
      </c>
      <c r="M302" t="s">
        <v>21</v>
      </c>
      <c r="N302" t="s">
        <v>55</v>
      </c>
      <c r="O302" t="s">
        <v>22</v>
      </c>
      <c r="R302" t="s">
        <v>1204</v>
      </c>
      <c r="S302" t="b">
        <f>COUNTIF(D:D,R302)&gt;0</f>
        <v>1</v>
      </c>
    </row>
    <row r="303" spans="1:19" x14ac:dyDescent="0.2">
      <c r="A303" t="s">
        <v>804</v>
      </c>
      <c r="B303" t="s">
        <v>805</v>
      </c>
      <c r="C303" t="s">
        <v>812</v>
      </c>
      <c r="D303" t="s">
        <v>813</v>
      </c>
      <c r="E303" t="b">
        <f>COUNTIF(R:R,D303)&gt;0</f>
        <v>1</v>
      </c>
      <c r="F303" t="str">
        <f t="shared" si="4"/>
        <v>OK</v>
      </c>
      <c r="G303" t="s">
        <v>18</v>
      </c>
      <c r="H303" s="1">
        <v>0.08</v>
      </c>
      <c r="I303" t="s">
        <v>83</v>
      </c>
      <c r="J303" t="s">
        <v>814</v>
      </c>
      <c r="K303" t="s">
        <v>21</v>
      </c>
      <c r="L303" t="s">
        <v>55</v>
      </c>
      <c r="M303" t="s">
        <v>21</v>
      </c>
      <c r="N303" t="s">
        <v>55</v>
      </c>
      <c r="O303" t="s">
        <v>22</v>
      </c>
      <c r="R303" t="s">
        <v>1206</v>
      </c>
      <c r="S303" t="b">
        <f>COUNTIF(D:D,R303)&gt;0</f>
        <v>1</v>
      </c>
    </row>
    <row r="304" spans="1:19" x14ac:dyDescent="0.2">
      <c r="A304" t="s">
        <v>804</v>
      </c>
      <c r="B304" t="s">
        <v>805</v>
      </c>
      <c r="C304" t="s">
        <v>815</v>
      </c>
      <c r="D304" t="s">
        <v>813</v>
      </c>
      <c r="E304" t="b">
        <f>COUNTIF(R:R,D304)&gt;0</f>
        <v>1</v>
      </c>
      <c r="F304" t="str">
        <f t="shared" si="4"/>
        <v>OK</v>
      </c>
      <c r="G304" t="s">
        <v>18</v>
      </c>
      <c r="H304" s="1">
        <v>0.08</v>
      </c>
      <c r="I304" t="s">
        <v>83</v>
      </c>
      <c r="J304" t="s">
        <v>814</v>
      </c>
      <c r="K304" t="s">
        <v>21</v>
      </c>
      <c r="L304" t="s">
        <v>55</v>
      </c>
      <c r="M304" t="s">
        <v>21</v>
      </c>
      <c r="N304" t="s">
        <v>55</v>
      </c>
      <c r="O304" t="s">
        <v>22</v>
      </c>
      <c r="R304" t="s">
        <v>1212</v>
      </c>
      <c r="S304" t="b">
        <f>COUNTIF(D:D,R304)&gt;0</f>
        <v>1</v>
      </c>
    </row>
    <row r="305" spans="1:19" x14ac:dyDescent="0.2">
      <c r="A305" t="s">
        <v>804</v>
      </c>
      <c r="B305" t="s">
        <v>805</v>
      </c>
      <c r="C305" t="s">
        <v>816</v>
      </c>
      <c r="D305" t="s">
        <v>813</v>
      </c>
      <c r="E305" t="b">
        <f>COUNTIF(R:R,D305)&gt;0</f>
        <v>1</v>
      </c>
      <c r="F305" t="str">
        <f t="shared" si="4"/>
        <v>OK</v>
      </c>
      <c r="G305" t="s">
        <v>18</v>
      </c>
      <c r="H305" s="1">
        <v>0.08</v>
      </c>
      <c r="I305" t="s">
        <v>83</v>
      </c>
      <c r="J305" t="s">
        <v>814</v>
      </c>
      <c r="K305" t="s">
        <v>21</v>
      </c>
      <c r="L305" t="s">
        <v>55</v>
      </c>
      <c r="M305" t="s">
        <v>21</v>
      </c>
      <c r="N305" t="s">
        <v>55</v>
      </c>
      <c r="O305" t="s">
        <v>22</v>
      </c>
      <c r="R305" t="s">
        <v>1219</v>
      </c>
      <c r="S305" t="b">
        <f>COUNTIF(D:D,R305)&gt;0</f>
        <v>1</v>
      </c>
    </row>
    <row r="306" spans="1:19" x14ac:dyDescent="0.2">
      <c r="A306" t="s">
        <v>804</v>
      </c>
      <c r="B306" t="s">
        <v>805</v>
      </c>
      <c r="C306" t="s">
        <v>817</v>
      </c>
      <c r="D306" t="s">
        <v>813</v>
      </c>
      <c r="E306" t="b">
        <f>COUNTIF(R:R,D306)&gt;0</f>
        <v>1</v>
      </c>
      <c r="F306" t="str">
        <f t="shared" si="4"/>
        <v>OK</v>
      </c>
      <c r="G306" t="s">
        <v>18</v>
      </c>
      <c r="H306" s="1">
        <v>0.08</v>
      </c>
      <c r="I306" t="s">
        <v>83</v>
      </c>
      <c r="J306" t="s">
        <v>814</v>
      </c>
      <c r="K306" t="s">
        <v>21</v>
      </c>
      <c r="L306" t="s">
        <v>55</v>
      </c>
      <c r="M306" t="s">
        <v>21</v>
      </c>
      <c r="N306" t="s">
        <v>55</v>
      </c>
      <c r="O306" t="s">
        <v>22</v>
      </c>
      <c r="R306" t="s">
        <v>1217</v>
      </c>
      <c r="S306" t="b">
        <f>COUNTIF(D:D,R306)&gt;0</f>
        <v>1</v>
      </c>
    </row>
    <row r="307" spans="1:19" ht="68" x14ac:dyDescent="0.2">
      <c r="A307" t="s">
        <v>804</v>
      </c>
      <c r="B307" t="s">
        <v>805</v>
      </c>
      <c r="C307" s="2" t="s">
        <v>818</v>
      </c>
      <c r="D307" t="s">
        <v>813</v>
      </c>
      <c r="E307" t="b">
        <f>COUNTIF(R:R,D307)&gt;0</f>
        <v>1</v>
      </c>
      <c r="F307" t="str">
        <f t="shared" si="4"/>
        <v>OK</v>
      </c>
      <c r="G307" t="s">
        <v>18</v>
      </c>
      <c r="H307" s="1">
        <v>0</v>
      </c>
      <c r="I307" t="s">
        <v>819</v>
      </c>
      <c r="J307" t="s">
        <v>820</v>
      </c>
      <c r="K307" t="s">
        <v>21</v>
      </c>
      <c r="L307" t="s">
        <v>55</v>
      </c>
      <c r="M307" t="s">
        <v>21</v>
      </c>
      <c r="N307" t="s">
        <v>55</v>
      </c>
      <c r="O307" t="s">
        <v>22</v>
      </c>
      <c r="R307" t="s">
        <v>1222</v>
      </c>
      <c r="S307" t="b">
        <f>COUNTIF(D:D,R307)&gt;0</f>
        <v>1</v>
      </c>
    </row>
    <row r="308" spans="1:19" x14ac:dyDescent="0.2">
      <c r="A308" t="s">
        <v>804</v>
      </c>
      <c r="B308" t="s">
        <v>805</v>
      </c>
      <c r="C308" t="s">
        <v>821</v>
      </c>
      <c r="D308" t="s">
        <v>813</v>
      </c>
      <c r="E308" t="b">
        <f>COUNTIF(R:R,D308)&gt;0</f>
        <v>1</v>
      </c>
      <c r="F308" t="str">
        <f t="shared" si="4"/>
        <v>OK</v>
      </c>
      <c r="G308" t="s">
        <v>18</v>
      </c>
      <c r="H308" s="1">
        <v>0</v>
      </c>
      <c r="I308" t="s">
        <v>822</v>
      </c>
      <c r="J308" t="s">
        <v>823</v>
      </c>
      <c r="K308" t="s">
        <v>21</v>
      </c>
      <c r="L308" t="s">
        <v>55</v>
      </c>
      <c r="M308" t="s">
        <v>21</v>
      </c>
      <c r="N308" t="s">
        <v>55</v>
      </c>
      <c r="O308" t="s">
        <v>22</v>
      </c>
      <c r="R308" t="s">
        <v>1225</v>
      </c>
      <c r="S308" t="b">
        <f>COUNTIF(D:D,R308)&gt;0</f>
        <v>1</v>
      </c>
    </row>
    <row r="309" spans="1:19" x14ac:dyDescent="0.2">
      <c r="A309" t="s">
        <v>804</v>
      </c>
      <c r="B309" t="s">
        <v>805</v>
      </c>
      <c r="C309" t="s">
        <v>824</v>
      </c>
      <c r="D309" t="s">
        <v>813</v>
      </c>
      <c r="E309" t="b">
        <f>COUNTIF(R:R,D309)&gt;0</f>
        <v>1</v>
      </c>
      <c r="F309" t="str">
        <f t="shared" si="4"/>
        <v>OK</v>
      </c>
      <c r="G309" t="s">
        <v>18</v>
      </c>
      <c r="H309" s="1">
        <v>0</v>
      </c>
      <c r="I309" t="s">
        <v>822</v>
      </c>
      <c r="J309" t="s">
        <v>823</v>
      </c>
      <c r="K309" t="s">
        <v>21</v>
      </c>
      <c r="L309" t="s">
        <v>55</v>
      </c>
      <c r="M309" t="s">
        <v>21</v>
      </c>
      <c r="N309" t="s">
        <v>55</v>
      </c>
      <c r="O309" t="s">
        <v>22</v>
      </c>
      <c r="R309" t="s">
        <v>1690</v>
      </c>
      <c r="S309" t="b">
        <f>COUNTIF(D:D,R309)&gt;0</f>
        <v>0</v>
      </c>
    </row>
    <row r="310" spans="1:19" ht="68" x14ac:dyDescent="0.2">
      <c r="A310" t="s">
        <v>804</v>
      </c>
      <c r="B310" t="s">
        <v>805</v>
      </c>
      <c r="C310" s="2" t="s">
        <v>825</v>
      </c>
      <c r="D310" t="s">
        <v>1665</v>
      </c>
      <c r="E310" t="b">
        <f>COUNTIF(R:R,D310)&gt;0</f>
        <v>1</v>
      </c>
      <c r="F310" t="str">
        <f t="shared" si="4"/>
        <v>OK</v>
      </c>
      <c r="G310" t="s">
        <v>30</v>
      </c>
      <c r="H310" s="1">
        <v>0</v>
      </c>
      <c r="I310" t="s">
        <v>826</v>
      </c>
      <c r="J310" t="s">
        <v>55</v>
      </c>
      <c r="K310" t="s">
        <v>827</v>
      </c>
      <c r="L310" t="s">
        <v>55</v>
      </c>
      <c r="M310" t="s">
        <v>828</v>
      </c>
      <c r="O310" t="s">
        <v>828</v>
      </c>
      <c r="R310" t="s">
        <v>1227</v>
      </c>
      <c r="S310" t="b">
        <f>COUNTIF(D:D,R310)&gt;0</f>
        <v>1</v>
      </c>
    </row>
    <row r="311" spans="1:19" ht="85" x14ac:dyDescent="0.2">
      <c r="A311" t="s">
        <v>804</v>
      </c>
      <c r="B311" t="s">
        <v>805</v>
      </c>
      <c r="C311" s="2" t="s">
        <v>829</v>
      </c>
      <c r="D311" t="s">
        <v>1665</v>
      </c>
      <c r="E311" t="b">
        <f>COUNTIF(R:R,D311)&gt;0</f>
        <v>1</v>
      </c>
      <c r="F311" t="str">
        <f t="shared" si="4"/>
        <v>OK</v>
      </c>
      <c r="G311" t="s">
        <v>30</v>
      </c>
      <c r="H311" s="1">
        <v>0</v>
      </c>
      <c r="I311" t="s">
        <v>826</v>
      </c>
      <c r="J311" t="s">
        <v>55</v>
      </c>
      <c r="K311" t="s">
        <v>827</v>
      </c>
      <c r="L311" t="s">
        <v>55</v>
      </c>
      <c r="M311" t="s">
        <v>828</v>
      </c>
      <c r="O311" t="s">
        <v>828</v>
      </c>
      <c r="R311" t="s">
        <v>1643</v>
      </c>
      <c r="S311" t="b">
        <f>COUNTIF(D:D,R311)&gt;0</f>
        <v>1</v>
      </c>
    </row>
    <row r="312" spans="1:19" ht="68" x14ac:dyDescent="0.2">
      <c r="A312" t="s">
        <v>804</v>
      </c>
      <c r="B312" t="s">
        <v>805</v>
      </c>
      <c r="C312" s="2" t="s">
        <v>830</v>
      </c>
      <c r="D312" t="s">
        <v>1665</v>
      </c>
      <c r="E312" t="b">
        <f>COUNTIF(R:R,D312)&gt;0</f>
        <v>1</v>
      </c>
      <c r="F312" t="str">
        <f t="shared" si="4"/>
        <v>OK</v>
      </c>
      <c r="G312" t="s">
        <v>30</v>
      </c>
      <c r="H312" s="1">
        <v>0</v>
      </c>
      <c r="I312" t="s">
        <v>826</v>
      </c>
      <c r="J312" t="s">
        <v>55</v>
      </c>
      <c r="K312" t="s">
        <v>827</v>
      </c>
      <c r="L312" t="s">
        <v>55</v>
      </c>
      <c r="M312" t="s">
        <v>828</v>
      </c>
      <c r="O312" t="s">
        <v>828</v>
      </c>
      <c r="R312" t="s">
        <v>1302</v>
      </c>
      <c r="S312" t="b">
        <f>COUNTIF(D:D,R312)&gt;0</f>
        <v>1</v>
      </c>
    </row>
    <row r="313" spans="1:19" x14ac:dyDescent="0.2">
      <c r="A313" t="s">
        <v>804</v>
      </c>
      <c r="B313" t="s">
        <v>805</v>
      </c>
      <c r="C313" t="s">
        <v>831</v>
      </c>
      <c r="D313" t="s">
        <v>832</v>
      </c>
      <c r="E313" t="b">
        <f>COUNTIF(R:R,D313)&gt;0</f>
        <v>0</v>
      </c>
      <c r="F313" t="str">
        <f t="shared" si="4"/>
        <v>OK</v>
      </c>
      <c r="G313" t="s">
        <v>18</v>
      </c>
      <c r="R313" t="s">
        <v>1287</v>
      </c>
      <c r="S313" t="b">
        <f>COUNTIF(D:D,R313)&gt;0</f>
        <v>1</v>
      </c>
    </row>
    <row r="314" spans="1:19" x14ac:dyDescent="0.2">
      <c r="A314" t="s">
        <v>804</v>
      </c>
      <c r="B314" t="s">
        <v>805</v>
      </c>
      <c r="C314" t="s">
        <v>833</v>
      </c>
      <c r="D314" t="s">
        <v>832</v>
      </c>
      <c r="E314" t="b">
        <f>COUNTIF(R:R,D314)&gt;0</f>
        <v>0</v>
      </c>
      <c r="F314" t="str">
        <f t="shared" si="4"/>
        <v>OK</v>
      </c>
      <c r="G314" t="s">
        <v>18</v>
      </c>
      <c r="R314" t="s">
        <v>1253</v>
      </c>
      <c r="S314" t="b">
        <f>COUNTIF(D:D,R314)&gt;0</f>
        <v>1</v>
      </c>
    </row>
    <row r="315" spans="1:19" x14ac:dyDescent="0.2">
      <c r="A315" t="s">
        <v>804</v>
      </c>
      <c r="B315" t="s">
        <v>805</v>
      </c>
      <c r="C315" t="s">
        <v>834</v>
      </c>
      <c r="D315" t="s">
        <v>832</v>
      </c>
      <c r="E315" t="b">
        <f>COUNTIF(R:R,D315)&gt;0</f>
        <v>0</v>
      </c>
      <c r="F315" t="str">
        <f t="shared" si="4"/>
        <v>OK</v>
      </c>
      <c r="G315" t="s">
        <v>18</v>
      </c>
      <c r="R315" t="s">
        <v>1275</v>
      </c>
      <c r="S315" t="b">
        <f>COUNTIF(D:D,R315)&gt;0</f>
        <v>1</v>
      </c>
    </row>
    <row r="316" spans="1:19" x14ac:dyDescent="0.2">
      <c r="A316" t="s">
        <v>804</v>
      </c>
      <c r="B316" t="s">
        <v>805</v>
      </c>
      <c r="C316" t="s">
        <v>835</v>
      </c>
      <c r="D316" t="s">
        <v>832</v>
      </c>
      <c r="E316" t="b">
        <f>COUNTIF(R:R,D316)&gt;0</f>
        <v>0</v>
      </c>
      <c r="F316" t="str">
        <f t="shared" si="4"/>
        <v>OK</v>
      </c>
      <c r="G316" t="s">
        <v>18</v>
      </c>
      <c r="R316" t="s">
        <v>1279</v>
      </c>
      <c r="S316" t="b">
        <f>COUNTIF(D:D,R316)&gt;0</f>
        <v>1</v>
      </c>
    </row>
    <row r="317" spans="1:19" x14ac:dyDescent="0.2">
      <c r="A317" t="s">
        <v>804</v>
      </c>
      <c r="B317" t="s">
        <v>805</v>
      </c>
      <c r="C317" t="s">
        <v>836</v>
      </c>
      <c r="D317" t="s">
        <v>832</v>
      </c>
      <c r="E317" t="b">
        <f>COUNTIF(R:R,D317)&gt;0</f>
        <v>0</v>
      </c>
      <c r="F317" t="str">
        <f t="shared" si="4"/>
        <v>OK</v>
      </c>
      <c r="G317" t="s">
        <v>18</v>
      </c>
      <c r="R317" t="s">
        <v>1241</v>
      </c>
      <c r="S317" t="b">
        <f>COUNTIF(D:D,R317)&gt;0</f>
        <v>1</v>
      </c>
    </row>
    <row r="318" spans="1:19" x14ac:dyDescent="0.2">
      <c r="A318" t="s">
        <v>804</v>
      </c>
      <c r="B318" t="s">
        <v>805</v>
      </c>
      <c r="C318" t="s">
        <v>837</v>
      </c>
      <c r="D318" t="s">
        <v>832</v>
      </c>
      <c r="E318" t="b">
        <f>COUNTIF(R:R,D318)&gt;0</f>
        <v>0</v>
      </c>
      <c r="F318" t="str">
        <f t="shared" si="4"/>
        <v>OK</v>
      </c>
      <c r="G318" t="s">
        <v>18</v>
      </c>
      <c r="R318" t="s">
        <v>1331</v>
      </c>
      <c r="S318" t="b">
        <f>COUNTIF(D:D,R318)&gt;0</f>
        <v>1</v>
      </c>
    </row>
    <row r="319" spans="1:19" x14ac:dyDescent="0.2">
      <c r="A319" t="s">
        <v>804</v>
      </c>
      <c r="B319" t="s">
        <v>805</v>
      </c>
      <c r="C319" t="s">
        <v>838</v>
      </c>
      <c r="D319" t="s">
        <v>839</v>
      </c>
      <c r="E319" t="b">
        <f>COUNTIF(R:R,D319)&gt;0</f>
        <v>0</v>
      </c>
      <c r="F319" t="str">
        <f t="shared" si="4"/>
        <v>OK</v>
      </c>
      <c r="G319" t="s">
        <v>18</v>
      </c>
      <c r="R319" t="s">
        <v>1328</v>
      </c>
      <c r="S319" t="b">
        <f>COUNTIF(D:D,R319)&gt;0</f>
        <v>1</v>
      </c>
    </row>
    <row r="320" spans="1:19" x14ac:dyDescent="0.2">
      <c r="A320" t="s">
        <v>804</v>
      </c>
      <c r="B320" t="s">
        <v>805</v>
      </c>
      <c r="C320" t="s">
        <v>840</v>
      </c>
      <c r="D320" t="s">
        <v>839</v>
      </c>
      <c r="E320" t="b">
        <f>COUNTIF(R:R,D320)&gt;0</f>
        <v>0</v>
      </c>
      <c r="F320" t="str">
        <f t="shared" si="4"/>
        <v>OK</v>
      </c>
      <c r="G320" t="s">
        <v>18</v>
      </c>
      <c r="R320" t="s">
        <v>1666</v>
      </c>
      <c r="S320" t="b">
        <f>COUNTIF(D:D,R320)&gt;0</f>
        <v>1</v>
      </c>
    </row>
    <row r="321" spans="1:19" x14ac:dyDescent="0.2">
      <c r="A321" t="s">
        <v>804</v>
      </c>
      <c r="B321" t="s">
        <v>805</v>
      </c>
      <c r="C321" t="s">
        <v>841</v>
      </c>
      <c r="D321" t="s">
        <v>842</v>
      </c>
      <c r="E321" t="b">
        <f>COUNTIF(R:R,D321)&gt;0</f>
        <v>1</v>
      </c>
      <c r="F321" t="str">
        <f t="shared" si="4"/>
        <v>OK</v>
      </c>
      <c r="G321" t="s">
        <v>18</v>
      </c>
      <c r="H321" s="1">
        <v>0.04</v>
      </c>
      <c r="I321" t="s">
        <v>843</v>
      </c>
      <c r="J321" t="s">
        <v>844</v>
      </c>
      <c r="K321" t="s">
        <v>21</v>
      </c>
      <c r="M321" t="s">
        <v>21</v>
      </c>
      <c r="O321" t="s">
        <v>22</v>
      </c>
      <c r="R321" t="s">
        <v>445</v>
      </c>
      <c r="S321" t="b">
        <f>COUNTIF(D:D,R321)&gt;0</f>
        <v>1</v>
      </c>
    </row>
    <row r="322" spans="1:19" x14ac:dyDescent="0.2">
      <c r="A322" t="s">
        <v>804</v>
      </c>
      <c r="B322" t="s">
        <v>805</v>
      </c>
      <c r="C322" t="s">
        <v>845</v>
      </c>
      <c r="D322" t="s">
        <v>842</v>
      </c>
      <c r="E322" t="b">
        <f>COUNTIF(R:R,D322)&gt;0</f>
        <v>1</v>
      </c>
      <c r="F322" t="str">
        <f t="shared" si="4"/>
        <v>OK</v>
      </c>
      <c r="G322" t="s">
        <v>18</v>
      </c>
      <c r="H322" s="1">
        <v>0.04</v>
      </c>
      <c r="I322" t="s">
        <v>75</v>
      </c>
      <c r="J322" t="s">
        <v>846</v>
      </c>
      <c r="K322" t="s">
        <v>21</v>
      </c>
      <c r="M322" t="s">
        <v>21</v>
      </c>
      <c r="O322" t="s">
        <v>22</v>
      </c>
      <c r="R322" t="s">
        <v>450</v>
      </c>
      <c r="S322" t="b">
        <f>COUNTIF(D:D,R322)&gt;0</f>
        <v>1</v>
      </c>
    </row>
    <row r="323" spans="1:19" x14ac:dyDescent="0.2">
      <c r="A323" t="s">
        <v>804</v>
      </c>
      <c r="B323" t="s">
        <v>805</v>
      </c>
      <c r="C323" t="s">
        <v>847</v>
      </c>
      <c r="D323" t="s">
        <v>842</v>
      </c>
      <c r="E323" t="b">
        <f>COUNTIF(R:R,D323)&gt;0</f>
        <v>1</v>
      </c>
      <c r="F323" t="str">
        <f t="shared" ref="F323:F386" si="5">IF(COUNTIF(C323,"*hybrid*")&gt;0,
     IF(COUNTIF(D323,"*hybrid*")&gt;0,"OK","Mismatch"),
     "OK")</f>
        <v>OK</v>
      </c>
      <c r="G323" t="s">
        <v>18</v>
      </c>
      <c r="H323" s="1">
        <v>0.04</v>
      </c>
      <c r="I323" t="s">
        <v>843</v>
      </c>
      <c r="J323" t="s">
        <v>844</v>
      </c>
      <c r="K323" t="s">
        <v>21</v>
      </c>
      <c r="M323" t="s">
        <v>21</v>
      </c>
      <c r="O323" t="s">
        <v>22</v>
      </c>
      <c r="R323" t="s">
        <v>457</v>
      </c>
      <c r="S323" t="b">
        <f>COUNTIF(D:D,R323)&gt;0</f>
        <v>1</v>
      </c>
    </row>
    <row r="324" spans="1:19" x14ac:dyDescent="0.2">
      <c r="A324" t="s">
        <v>804</v>
      </c>
      <c r="B324" t="s">
        <v>805</v>
      </c>
      <c r="C324" t="s">
        <v>848</v>
      </c>
      <c r="D324" t="s">
        <v>842</v>
      </c>
      <c r="E324" t="b">
        <f>COUNTIF(R:R,D324)&gt;0</f>
        <v>1</v>
      </c>
      <c r="F324" t="str">
        <f t="shared" si="5"/>
        <v>OK</v>
      </c>
      <c r="G324" t="s">
        <v>18</v>
      </c>
      <c r="H324" s="1">
        <v>0.04</v>
      </c>
      <c r="I324" t="s">
        <v>75</v>
      </c>
      <c r="J324" t="s">
        <v>846</v>
      </c>
      <c r="K324" t="s">
        <v>21</v>
      </c>
      <c r="M324" t="s">
        <v>21</v>
      </c>
      <c r="O324" t="s">
        <v>22</v>
      </c>
      <c r="R324" t="s">
        <v>1676</v>
      </c>
      <c r="S324" t="b">
        <f>COUNTIF(D:D,R324)&gt;0</f>
        <v>0</v>
      </c>
    </row>
    <row r="325" spans="1:19" x14ac:dyDescent="0.2">
      <c r="A325" t="s">
        <v>804</v>
      </c>
      <c r="B325" t="s">
        <v>805</v>
      </c>
      <c r="C325" t="s">
        <v>849</v>
      </c>
      <c r="D325" t="s">
        <v>842</v>
      </c>
      <c r="E325" t="b">
        <f>COUNTIF(R:R,D325)&gt;0</f>
        <v>1</v>
      </c>
      <c r="F325" t="str">
        <f t="shared" si="5"/>
        <v>OK</v>
      </c>
      <c r="G325" t="s">
        <v>18</v>
      </c>
      <c r="H325" s="1">
        <v>0.05</v>
      </c>
      <c r="I325" t="s">
        <v>850</v>
      </c>
      <c r="J325" t="s">
        <v>846</v>
      </c>
      <c r="K325" t="s">
        <v>21</v>
      </c>
      <c r="M325" t="s">
        <v>21</v>
      </c>
      <c r="O325" t="s">
        <v>22</v>
      </c>
      <c r="R325" t="s">
        <v>1705</v>
      </c>
      <c r="S325" t="b">
        <f>COUNTIF(D:D,R325)&gt;0</f>
        <v>0</v>
      </c>
    </row>
    <row r="326" spans="1:19" x14ac:dyDescent="0.2">
      <c r="A326" t="s">
        <v>804</v>
      </c>
      <c r="B326" t="s">
        <v>805</v>
      </c>
      <c r="C326" t="s">
        <v>851</v>
      </c>
      <c r="D326" t="s">
        <v>842</v>
      </c>
      <c r="E326" t="b">
        <f>COUNTIF(R:R,D326)&gt;0</f>
        <v>1</v>
      </c>
      <c r="F326" t="str">
        <f t="shared" si="5"/>
        <v>OK</v>
      </c>
      <c r="G326" t="s">
        <v>18</v>
      </c>
      <c r="H326" s="1">
        <v>0.05</v>
      </c>
      <c r="I326" t="s">
        <v>91</v>
      </c>
      <c r="J326" t="s">
        <v>852</v>
      </c>
      <c r="K326" t="s">
        <v>21</v>
      </c>
      <c r="M326" t="s">
        <v>21</v>
      </c>
      <c r="O326" t="s">
        <v>22</v>
      </c>
      <c r="R326" t="s">
        <v>1680</v>
      </c>
      <c r="S326" t="b">
        <f>COUNTIF(D:D,R326)&gt;0</f>
        <v>0</v>
      </c>
    </row>
    <row r="327" spans="1:19" x14ac:dyDescent="0.2">
      <c r="A327" t="s">
        <v>804</v>
      </c>
      <c r="B327" t="s">
        <v>805</v>
      </c>
      <c r="C327" t="s">
        <v>853</v>
      </c>
      <c r="D327" t="s">
        <v>842</v>
      </c>
      <c r="E327" t="b">
        <f>COUNTIF(R:R,D327)&gt;0</f>
        <v>1</v>
      </c>
      <c r="F327" t="str">
        <f t="shared" si="5"/>
        <v>OK</v>
      </c>
      <c r="G327" t="s">
        <v>18</v>
      </c>
      <c r="H327" s="1">
        <v>0.05</v>
      </c>
      <c r="I327" t="s">
        <v>854</v>
      </c>
      <c r="J327" t="s">
        <v>852</v>
      </c>
      <c r="K327" t="s">
        <v>21</v>
      </c>
      <c r="M327" t="s">
        <v>21</v>
      </c>
      <c r="O327" t="s">
        <v>22</v>
      </c>
      <c r="R327" t="s">
        <v>338</v>
      </c>
      <c r="S327" t="b">
        <f>COUNTIF(D:D,R327)&gt;0</f>
        <v>1</v>
      </c>
    </row>
    <row r="328" spans="1:19" x14ac:dyDescent="0.2">
      <c r="A328" t="s">
        <v>804</v>
      </c>
      <c r="B328" t="s">
        <v>805</v>
      </c>
      <c r="C328" t="s">
        <v>855</v>
      </c>
      <c r="D328" t="s">
        <v>856</v>
      </c>
      <c r="E328" t="b">
        <f>COUNTIF(R:R,D328)&gt;0</f>
        <v>0</v>
      </c>
      <c r="F328" t="str">
        <f t="shared" si="5"/>
        <v>OK</v>
      </c>
      <c r="G328" t="s">
        <v>18</v>
      </c>
      <c r="H328" s="1">
        <v>0.04</v>
      </c>
      <c r="I328" t="s">
        <v>185</v>
      </c>
      <c r="J328" t="s">
        <v>814</v>
      </c>
      <c r="K328" t="s">
        <v>21</v>
      </c>
      <c r="M328" t="s">
        <v>21</v>
      </c>
      <c r="O328" t="s">
        <v>22</v>
      </c>
      <c r="R328" t="s">
        <v>332</v>
      </c>
      <c r="S328" t="b">
        <f>COUNTIF(D:D,R328)&gt;0</f>
        <v>1</v>
      </c>
    </row>
    <row r="329" spans="1:19" x14ac:dyDescent="0.2">
      <c r="A329" t="s">
        <v>804</v>
      </c>
      <c r="B329" t="s">
        <v>805</v>
      </c>
      <c r="C329" t="s">
        <v>857</v>
      </c>
      <c r="D329" t="s">
        <v>856</v>
      </c>
      <c r="E329" t="b">
        <f>COUNTIF(R:R,D329)&gt;0</f>
        <v>0</v>
      </c>
      <c r="F329" t="str">
        <f t="shared" si="5"/>
        <v>OK</v>
      </c>
      <c r="G329" t="s">
        <v>18</v>
      </c>
      <c r="H329" s="1">
        <v>0.04</v>
      </c>
      <c r="I329" t="s">
        <v>51</v>
      </c>
      <c r="J329" t="s">
        <v>858</v>
      </c>
      <c r="K329" t="s">
        <v>21</v>
      </c>
      <c r="M329" t="s">
        <v>21</v>
      </c>
      <c r="O329" t="s">
        <v>22</v>
      </c>
      <c r="R329" t="s">
        <v>330</v>
      </c>
      <c r="S329" t="b">
        <f>COUNTIF(D:D,R329)&gt;0</f>
        <v>1</v>
      </c>
    </row>
    <row r="330" spans="1:19" x14ac:dyDescent="0.2">
      <c r="A330" t="s">
        <v>804</v>
      </c>
      <c r="B330" t="s">
        <v>805</v>
      </c>
      <c r="C330" t="s">
        <v>859</v>
      </c>
      <c r="D330" t="s">
        <v>856</v>
      </c>
      <c r="E330" t="b">
        <f>COUNTIF(R:R,D330)&gt;0</f>
        <v>0</v>
      </c>
      <c r="F330" t="str">
        <f t="shared" si="5"/>
        <v>OK</v>
      </c>
      <c r="G330" t="s">
        <v>18</v>
      </c>
      <c r="H330" s="1">
        <v>0.04</v>
      </c>
      <c r="I330" t="s">
        <v>51</v>
      </c>
      <c r="J330" t="s">
        <v>858</v>
      </c>
      <c r="K330" t="s">
        <v>21</v>
      </c>
      <c r="M330" t="s">
        <v>21</v>
      </c>
      <c r="O330" t="s">
        <v>22</v>
      </c>
      <c r="R330" t="s">
        <v>1348</v>
      </c>
      <c r="S330" t="b">
        <f>COUNTIF(D:D,R330)&gt;0</f>
        <v>1</v>
      </c>
    </row>
    <row r="331" spans="1:19" x14ac:dyDescent="0.2">
      <c r="A331" t="s">
        <v>804</v>
      </c>
      <c r="B331" t="s">
        <v>860</v>
      </c>
      <c r="C331" t="s">
        <v>861</v>
      </c>
      <c r="D331" t="s">
        <v>862</v>
      </c>
      <c r="E331" t="b">
        <f>COUNTIF(R:R,D331)&gt;0</f>
        <v>1</v>
      </c>
      <c r="F331" t="str">
        <f t="shared" si="5"/>
        <v>OK</v>
      </c>
      <c r="G331" t="s">
        <v>30</v>
      </c>
      <c r="H331" s="1">
        <v>0.01</v>
      </c>
      <c r="I331" t="s">
        <v>863</v>
      </c>
      <c r="J331" t="s">
        <v>162</v>
      </c>
      <c r="K331" t="s">
        <v>163</v>
      </c>
      <c r="M331" t="s">
        <v>21</v>
      </c>
      <c r="O331" t="s">
        <v>22</v>
      </c>
      <c r="R331" t="s">
        <v>1351</v>
      </c>
      <c r="S331" t="b">
        <f>COUNTIF(D:D,R331)&gt;0</f>
        <v>1</v>
      </c>
    </row>
    <row r="332" spans="1:19" x14ac:dyDescent="0.2">
      <c r="A332" t="s">
        <v>804</v>
      </c>
      <c r="B332" t="s">
        <v>860</v>
      </c>
      <c r="C332" t="s">
        <v>864</v>
      </c>
      <c r="D332" t="s">
        <v>862</v>
      </c>
      <c r="E332" t="b">
        <f>COUNTIF(R:R,D332)&gt;0</f>
        <v>1</v>
      </c>
      <c r="F332" t="str">
        <f t="shared" si="5"/>
        <v>OK</v>
      </c>
      <c r="G332" t="s">
        <v>30</v>
      </c>
      <c r="H332" s="1">
        <v>0.01</v>
      </c>
      <c r="I332" t="s">
        <v>863</v>
      </c>
      <c r="J332" t="s">
        <v>162</v>
      </c>
      <c r="K332" t="s">
        <v>163</v>
      </c>
      <c r="M332" t="s">
        <v>21</v>
      </c>
      <c r="O332" t="s">
        <v>22</v>
      </c>
      <c r="R332" t="s">
        <v>1356</v>
      </c>
      <c r="S332" t="b">
        <f>COUNTIF(D:D,R332)&gt;0</f>
        <v>1</v>
      </c>
    </row>
    <row r="333" spans="1:19" x14ac:dyDescent="0.2">
      <c r="A333" t="s">
        <v>804</v>
      </c>
      <c r="B333" t="s">
        <v>860</v>
      </c>
      <c r="C333" t="s">
        <v>865</v>
      </c>
      <c r="D333" t="s">
        <v>866</v>
      </c>
      <c r="E333" t="b">
        <f>COUNTIF(R:R,D333)&gt;0</f>
        <v>1</v>
      </c>
      <c r="F333" t="str">
        <f t="shared" si="5"/>
        <v>OK</v>
      </c>
      <c r="G333" t="s">
        <v>30</v>
      </c>
      <c r="H333" s="1">
        <v>7.0000000000000007E-2</v>
      </c>
      <c r="I333" t="s">
        <v>843</v>
      </c>
      <c r="K333" t="s">
        <v>21</v>
      </c>
      <c r="M333" t="s">
        <v>21</v>
      </c>
      <c r="O333" t="s">
        <v>270</v>
      </c>
      <c r="R333" t="s">
        <v>1358</v>
      </c>
      <c r="S333" t="b">
        <f>COUNTIF(D:D,R333)&gt;0</f>
        <v>1</v>
      </c>
    </row>
    <row r="334" spans="1:19" x14ac:dyDescent="0.2">
      <c r="A334" t="s">
        <v>804</v>
      </c>
      <c r="B334" t="s">
        <v>860</v>
      </c>
      <c r="C334" t="s">
        <v>867</v>
      </c>
      <c r="D334" t="s">
        <v>868</v>
      </c>
      <c r="E334" t="b">
        <f>COUNTIF(R:R,D334)&gt;0</f>
        <v>1</v>
      </c>
      <c r="F334" t="str">
        <f t="shared" si="5"/>
        <v>OK</v>
      </c>
      <c r="G334" t="s">
        <v>30</v>
      </c>
      <c r="H334" s="1">
        <v>0.09</v>
      </c>
      <c r="I334" t="s">
        <v>869</v>
      </c>
      <c r="J334" t="s">
        <v>870</v>
      </c>
      <c r="K334" t="s">
        <v>21</v>
      </c>
      <c r="M334" t="s">
        <v>21</v>
      </c>
      <c r="O334" t="s">
        <v>270</v>
      </c>
      <c r="R334" t="s">
        <v>1353</v>
      </c>
      <c r="S334" t="b">
        <f>COUNTIF(D:D,R334)&gt;0</f>
        <v>1</v>
      </c>
    </row>
    <row r="335" spans="1:19" ht="51" x14ac:dyDescent="0.2">
      <c r="A335" t="s">
        <v>804</v>
      </c>
      <c r="B335" t="s">
        <v>860</v>
      </c>
      <c r="C335" s="2" t="s">
        <v>871</v>
      </c>
      <c r="D335" t="s">
        <v>872</v>
      </c>
      <c r="E335" t="b">
        <f>COUNTIF(R:R,D335)&gt;0</f>
        <v>1</v>
      </c>
      <c r="F335" t="str">
        <f t="shared" si="5"/>
        <v>OK</v>
      </c>
      <c r="G335" t="s">
        <v>30</v>
      </c>
      <c r="H335" s="1">
        <v>0.08</v>
      </c>
      <c r="I335" t="s">
        <v>873</v>
      </c>
      <c r="K335" t="s">
        <v>21</v>
      </c>
      <c r="M335" t="s">
        <v>21</v>
      </c>
      <c r="O335" t="s">
        <v>22</v>
      </c>
      <c r="R335" t="s">
        <v>1360</v>
      </c>
      <c r="S335" t="b">
        <f>COUNTIF(D:D,R335)&gt;0</f>
        <v>1</v>
      </c>
    </row>
    <row r="336" spans="1:19" ht="51" x14ac:dyDescent="0.2">
      <c r="A336" t="s">
        <v>804</v>
      </c>
      <c r="B336" t="s">
        <v>860</v>
      </c>
      <c r="C336" s="2" t="s">
        <v>874</v>
      </c>
      <c r="D336" t="s">
        <v>872</v>
      </c>
      <c r="E336" t="b">
        <f>COUNTIF(R:R,D336)&gt;0</f>
        <v>1</v>
      </c>
      <c r="F336" t="str">
        <f t="shared" si="5"/>
        <v>OK</v>
      </c>
      <c r="G336" t="s">
        <v>30</v>
      </c>
      <c r="H336" s="1">
        <v>0.08</v>
      </c>
      <c r="I336" t="s">
        <v>873</v>
      </c>
      <c r="K336" t="s">
        <v>21</v>
      </c>
      <c r="M336" t="s">
        <v>21</v>
      </c>
      <c r="O336" t="s">
        <v>22</v>
      </c>
      <c r="R336" t="s">
        <v>1363</v>
      </c>
      <c r="S336" t="b">
        <f>COUNTIF(D:D,R336)&gt;0</f>
        <v>1</v>
      </c>
    </row>
    <row r="337" spans="1:19" ht="51" x14ac:dyDescent="0.2">
      <c r="A337" t="s">
        <v>804</v>
      </c>
      <c r="B337" t="s">
        <v>860</v>
      </c>
      <c r="C337" s="2" t="s">
        <v>875</v>
      </c>
      <c r="D337" t="s">
        <v>872</v>
      </c>
      <c r="E337" t="b">
        <f>COUNTIF(R:R,D337)&gt;0</f>
        <v>1</v>
      </c>
      <c r="F337" t="str">
        <f t="shared" si="5"/>
        <v>OK</v>
      </c>
      <c r="G337" t="s">
        <v>30</v>
      </c>
      <c r="H337" s="1">
        <v>0.08</v>
      </c>
      <c r="I337" t="s">
        <v>873</v>
      </c>
      <c r="K337" t="s">
        <v>21</v>
      </c>
      <c r="M337" t="s">
        <v>21</v>
      </c>
      <c r="O337" t="s">
        <v>22</v>
      </c>
      <c r="R337" t="s">
        <v>1365</v>
      </c>
      <c r="S337" t="b">
        <f>COUNTIF(D:D,R337)&gt;0</f>
        <v>1</v>
      </c>
    </row>
    <row r="338" spans="1:19" x14ac:dyDescent="0.2">
      <c r="A338" t="s">
        <v>804</v>
      </c>
      <c r="B338" t="s">
        <v>860</v>
      </c>
      <c r="C338" t="s">
        <v>876</v>
      </c>
      <c r="D338" t="s">
        <v>877</v>
      </c>
      <c r="E338" t="b">
        <f>COUNTIF(R:R,D338)&gt;0</f>
        <v>0</v>
      </c>
      <c r="F338" t="str">
        <f t="shared" si="5"/>
        <v>OK</v>
      </c>
      <c r="G338" t="s">
        <v>30</v>
      </c>
      <c r="H338" s="1">
        <v>0.05</v>
      </c>
      <c r="I338" t="s">
        <v>873</v>
      </c>
      <c r="J338" t="s">
        <v>878</v>
      </c>
      <c r="K338" t="s">
        <v>21</v>
      </c>
      <c r="M338" t="s">
        <v>21</v>
      </c>
      <c r="O338" t="s">
        <v>22</v>
      </c>
      <c r="R338" t="s">
        <v>1369</v>
      </c>
      <c r="S338" t="b">
        <f>COUNTIF(D:D,R338)&gt;0</f>
        <v>1</v>
      </c>
    </row>
    <row r="339" spans="1:19" x14ac:dyDescent="0.2">
      <c r="A339" t="s">
        <v>804</v>
      </c>
      <c r="B339" t="s">
        <v>860</v>
      </c>
      <c r="C339" t="s">
        <v>879</v>
      </c>
      <c r="D339" t="s">
        <v>880</v>
      </c>
      <c r="E339" t="b">
        <f>COUNTIF(R:R,D339)&gt;0</f>
        <v>1</v>
      </c>
      <c r="F339" t="str">
        <f t="shared" si="5"/>
        <v>OK</v>
      </c>
      <c r="G339" t="s">
        <v>30</v>
      </c>
      <c r="H339" s="1">
        <v>0.05</v>
      </c>
      <c r="I339" t="s">
        <v>873</v>
      </c>
      <c r="J339" t="s">
        <v>878</v>
      </c>
      <c r="K339" t="s">
        <v>21</v>
      </c>
      <c r="M339" t="s">
        <v>21</v>
      </c>
      <c r="O339" t="s">
        <v>22</v>
      </c>
      <c r="R339" t="s">
        <v>1637</v>
      </c>
      <c r="S339" t="b">
        <f>COUNTIF(D:D,R339)&gt;0</f>
        <v>1</v>
      </c>
    </row>
    <row r="340" spans="1:19" x14ac:dyDescent="0.2">
      <c r="A340" t="s">
        <v>804</v>
      </c>
      <c r="B340" t="s">
        <v>860</v>
      </c>
      <c r="C340" t="s">
        <v>881</v>
      </c>
      <c r="D340" t="s">
        <v>880</v>
      </c>
      <c r="E340" t="b">
        <f>COUNTIF(R:R,D340)&gt;0</f>
        <v>1</v>
      </c>
      <c r="F340" t="str">
        <f t="shared" si="5"/>
        <v>OK</v>
      </c>
      <c r="G340" t="s">
        <v>30</v>
      </c>
      <c r="H340" s="1">
        <v>0.09</v>
      </c>
      <c r="I340" t="s">
        <v>882</v>
      </c>
      <c r="J340" t="s">
        <v>156</v>
      </c>
      <c r="K340" t="s">
        <v>21</v>
      </c>
      <c r="M340" t="s">
        <v>21</v>
      </c>
      <c r="O340" t="s">
        <v>22</v>
      </c>
      <c r="R340" t="s">
        <v>1664</v>
      </c>
      <c r="S340" t="b">
        <f>COUNTIF(D:D,R340)&gt;0</f>
        <v>1</v>
      </c>
    </row>
    <row r="341" spans="1:19" x14ac:dyDescent="0.2">
      <c r="A341" t="s">
        <v>804</v>
      </c>
      <c r="B341" t="s">
        <v>860</v>
      </c>
      <c r="C341" t="s">
        <v>883</v>
      </c>
      <c r="D341" t="s">
        <v>880</v>
      </c>
      <c r="E341" t="b">
        <f>COUNTIF(R:R,D341)&gt;0</f>
        <v>1</v>
      </c>
      <c r="F341" t="str">
        <f t="shared" si="5"/>
        <v>OK</v>
      </c>
      <c r="G341" t="s">
        <v>30</v>
      </c>
      <c r="H341" s="1">
        <v>0.09</v>
      </c>
      <c r="I341" t="s">
        <v>882</v>
      </c>
      <c r="J341" t="s">
        <v>156</v>
      </c>
      <c r="K341" t="s">
        <v>21</v>
      </c>
      <c r="M341" t="s">
        <v>21</v>
      </c>
      <c r="O341" t="s">
        <v>22</v>
      </c>
      <c r="R341" t="s">
        <v>1663</v>
      </c>
      <c r="S341" t="b">
        <f>COUNTIF(D:D,R341)&gt;0</f>
        <v>1</v>
      </c>
    </row>
    <row r="342" spans="1:19" x14ac:dyDescent="0.2">
      <c r="A342" t="s">
        <v>804</v>
      </c>
      <c r="B342" t="s">
        <v>860</v>
      </c>
      <c r="C342" t="s">
        <v>884</v>
      </c>
      <c r="D342" t="s">
        <v>880</v>
      </c>
      <c r="E342" t="b">
        <f>COUNTIF(R:R,D342)&gt;0</f>
        <v>1</v>
      </c>
      <c r="F342" t="str">
        <f t="shared" si="5"/>
        <v>OK</v>
      </c>
      <c r="G342" t="s">
        <v>30</v>
      </c>
      <c r="H342" s="1">
        <v>0.09</v>
      </c>
      <c r="I342" t="s">
        <v>882</v>
      </c>
      <c r="J342" t="s">
        <v>156</v>
      </c>
      <c r="K342" t="s">
        <v>21</v>
      </c>
      <c r="M342" t="s">
        <v>21</v>
      </c>
      <c r="O342" t="s">
        <v>22</v>
      </c>
      <c r="R342" t="s">
        <v>1641</v>
      </c>
      <c r="S342" t="b">
        <f>COUNTIF(D:D,R342)&gt;0</f>
        <v>1</v>
      </c>
    </row>
    <row r="343" spans="1:19" x14ac:dyDescent="0.2">
      <c r="A343" t="s">
        <v>804</v>
      </c>
      <c r="B343" t="s">
        <v>860</v>
      </c>
      <c r="C343" t="s">
        <v>885</v>
      </c>
      <c r="D343" t="s">
        <v>886</v>
      </c>
      <c r="E343" t="b">
        <f>COUNTIF(R:R,D343)&gt;0</f>
        <v>0</v>
      </c>
      <c r="F343" t="str">
        <f t="shared" si="5"/>
        <v>OK</v>
      </c>
      <c r="G343" t="s">
        <v>30</v>
      </c>
      <c r="H343" s="1">
        <v>0.01</v>
      </c>
      <c r="I343" t="s">
        <v>869</v>
      </c>
      <c r="J343" t="s">
        <v>298</v>
      </c>
      <c r="K343" t="s">
        <v>21</v>
      </c>
      <c r="M343" t="s">
        <v>21</v>
      </c>
      <c r="O343" t="s">
        <v>22</v>
      </c>
      <c r="R343" t="s">
        <v>1434</v>
      </c>
      <c r="S343" t="b">
        <f>COUNTIF(D:D,R343)&gt;0</f>
        <v>1</v>
      </c>
    </row>
    <row r="344" spans="1:19" x14ac:dyDescent="0.2">
      <c r="A344" t="s">
        <v>804</v>
      </c>
      <c r="B344" t="s">
        <v>860</v>
      </c>
      <c r="C344" t="s">
        <v>887</v>
      </c>
      <c r="D344" t="s">
        <v>888</v>
      </c>
      <c r="E344" t="b">
        <f>COUNTIF(R:R,D344)&gt;0</f>
        <v>1</v>
      </c>
      <c r="F344" t="str">
        <f t="shared" si="5"/>
        <v>OK</v>
      </c>
      <c r="G344" t="s">
        <v>30</v>
      </c>
      <c r="H344" s="1">
        <v>0.01</v>
      </c>
      <c r="I344" t="s">
        <v>869</v>
      </c>
      <c r="J344" t="s">
        <v>298</v>
      </c>
      <c r="K344" t="s">
        <v>21</v>
      </c>
      <c r="M344" t="s">
        <v>21</v>
      </c>
      <c r="O344" t="s">
        <v>22</v>
      </c>
      <c r="R344" t="s">
        <v>1436</v>
      </c>
      <c r="S344" t="b">
        <f>COUNTIF(D:D,R344)&gt;0</f>
        <v>1</v>
      </c>
    </row>
    <row r="345" spans="1:19" x14ac:dyDescent="0.2">
      <c r="A345" t="s">
        <v>804</v>
      </c>
      <c r="B345" t="s">
        <v>860</v>
      </c>
      <c r="C345" t="s">
        <v>889</v>
      </c>
      <c r="D345" t="s">
        <v>888</v>
      </c>
      <c r="E345" t="b">
        <f>COUNTIF(R:R,D345)&gt;0</f>
        <v>1</v>
      </c>
      <c r="F345" t="str">
        <f t="shared" si="5"/>
        <v>OK</v>
      </c>
      <c r="G345" t="s">
        <v>30</v>
      </c>
      <c r="H345" s="1">
        <v>7.0000000000000007E-2</v>
      </c>
      <c r="I345" t="s">
        <v>890</v>
      </c>
      <c r="J345" t="s">
        <v>891</v>
      </c>
      <c r="K345" t="s">
        <v>21</v>
      </c>
      <c r="M345" t="s">
        <v>21</v>
      </c>
      <c r="O345" t="s">
        <v>22</v>
      </c>
      <c r="R345" t="s">
        <v>1438</v>
      </c>
      <c r="S345" t="b">
        <f>COUNTIF(D:D,R345)&gt;0</f>
        <v>1</v>
      </c>
    </row>
    <row r="346" spans="1:19" x14ac:dyDescent="0.2">
      <c r="A346" t="s">
        <v>804</v>
      </c>
      <c r="B346" t="s">
        <v>860</v>
      </c>
      <c r="C346" t="s">
        <v>892</v>
      </c>
      <c r="D346" t="s">
        <v>888</v>
      </c>
      <c r="E346" t="b">
        <f>COUNTIF(R:R,D346)&gt;0</f>
        <v>1</v>
      </c>
      <c r="F346" t="str">
        <f t="shared" si="5"/>
        <v>OK</v>
      </c>
      <c r="G346" t="s">
        <v>30</v>
      </c>
      <c r="H346" s="1">
        <v>7.0000000000000007E-2</v>
      </c>
      <c r="I346" t="s">
        <v>890</v>
      </c>
      <c r="J346" t="s">
        <v>891</v>
      </c>
      <c r="K346" t="s">
        <v>21</v>
      </c>
      <c r="M346" t="s">
        <v>21</v>
      </c>
      <c r="O346" t="s">
        <v>22</v>
      </c>
      <c r="R346" t="s">
        <v>1440</v>
      </c>
      <c r="S346" t="b">
        <f>COUNTIF(D:D,R346)&gt;0</f>
        <v>1</v>
      </c>
    </row>
    <row r="347" spans="1:19" x14ac:dyDescent="0.2">
      <c r="A347" t="s">
        <v>804</v>
      </c>
      <c r="B347" t="s">
        <v>860</v>
      </c>
      <c r="C347" t="s">
        <v>893</v>
      </c>
      <c r="D347" t="s">
        <v>894</v>
      </c>
      <c r="E347" t="b">
        <f>COUNTIF(R:R,D347)&gt;0</f>
        <v>1</v>
      </c>
      <c r="F347" t="str">
        <f t="shared" si="5"/>
        <v>OK</v>
      </c>
      <c r="G347" t="s">
        <v>30</v>
      </c>
      <c r="H347" s="1">
        <v>0</v>
      </c>
      <c r="I347" t="s">
        <v>882</v>
      </c>
      <c r="J347" t="s">
        <v>285</v>
      </c>
      <c r="K347" t="s">
        <v>163</v>
      </c>
      <c r="M347" t="s">
        <v>21</v>
      </c>
      <c r="O347" t="s">
        <v>22</v>
      </c>
      <c r="R347" t="s">
        <v>1445</v>
      </c>
      <c r="S347" t="b">
        <f>COUNTIF(D:D,R347)&gt;0</f>
        <v>1</v>
      </c>
    </row>
    <row r="348" spans="1:19" x14ac:dyDescent="0.2">
      <c r="A348" t="s">
        <v>804</v>
      </c>
      <c r="B348" t="s">
        <v>860</v>
      </c>
      <c r="C348" t="s">
        <v>895</v>
      </c>
      <c r="D348" t="s">
        <v>894</v>
      </c>
      <c r="E348" t="b">
        <f>COUNTIF(R:R,D348)&gt;0</f>
        <v>1</v>
      </c>
      <c r="F348" t="str">
        <f t="shared" si="5"/>
        <v>OK</v>
      </c>
      <c r="G348" t="s">
        <v>30</v>
      </c>
      <c r="H348" s="1">
        <v>0</v>
      </c>
      <c r="I348" t="s">
        <v>882</v>
      </c>
      <c r="J348" t="s">
        <v>285</v>
      </c>
      <c r="K348" t="s">
        <v>163</v>
      </c>
      <c r="M348" t="s">
        <v>21</v>
      </c>
      <c r="O348" t="s">
        <v>22</v>
      </c>
      <c r="R348" t="s">
        <v>1442</v>
      </c>
      <c r="S348" t="b">
        <f>COUNTIF(D:D,R348)&gt;0</f>
        <v>1</v>
      </c>
    </row>
    <row r="349" spans="1:19" x14ac:dyDescent="0.2">
      <c r="A349" t="s">
        <v>804</v>
      </c>
      <c r="B349" t="s">
        <v>860</v>
      </c>
      <c r="C349" t="s">
        <v>896</v>
      </c>
      <c r="D349" t="s">
        <v>894</v>
      </c>
      <c r="E349" t="b">
        <f>COUNTIF(R:R,D349)&gt;0</f>
        <v>1</v>
      </c>
      <c r="F349" t="str">
        <f t="shared" si="5"/>
        <v>OK</v>
      </c>
      <c r="G349" t="s">
        <v>30</v>
      </c>
      <c r="H349" s="1">
        <v>7.0000000000000007E-2</v>
      </c>
      <c r="I349" t="s">
        <v>897</v>
      </c>
      <c r="J349" t="s">
        <v>891</v>
      </c>
      <c r="K349" t="s">
        <v>21</v>
      </c>
      <c r="M349" t="s">
        <v>21</v>
      </c>
      <c r="O349" t="s">
        <v>22</v>
      </c>
      <c r="R349" t="s">
        <v>1449</v>
      </c>
      <c r="S349" t="b">
        <f>COUNTIF(D:D,R349)&gt;0</f>
        <v>1</v>
      </c>
    </row>
    <row r="350" spans="1:19" x14ac:dyDescent="0.2">
      <c r="A350" t="s">
        <v>804</v>
      </c>
      <c r="B350" t="s">
        <v>860</v>
      </c>
      <c r="C350" t="s">
        <v>896</v>
      </c>
      <c r="D350" t="s">
        <v>894</v>
      </c>
      <c r="E350" t="b">
        <f>COUNTIF(R:R,D350)&gt;0</f>
        <v>1</v>
      </c>
      <c r="F350" t="str">
        <f t="shared" si="5"/>
        <v>OK</v>
      </c>
      <c r="G350" t="s">
        <v>30</v>
      </c>
      <c r="H350" s="1">
        <v>0</v>
      </c>
      <c r="I350" t="s">
        <v>882</v>
      </c>
      <c r="J350" t="s">
        <v>285</v>
      </c>
      <c r="K350" t="s">
        <v>163</v>
      </c>
      <c r="M350" t="s">
        <v>21</v>
      </c>
      <c r="O350" t="s">
        <v>22</v>
      </c>
      <c r="R350" t="s">
        <v>1451</v>
      </c>
      <c r="S350" t="b">
        <f>COUNTIF(D:D,R350)&gt;0</f>
        <v>1</v>
      </c>
    </row>
    <row r="351" spans="1:19" x14ac:dyDescent="0.2">
      <c r="A351" t="s">
        <v>804</v>
      </c>
      <c r="B351" t="s">
        <v>860</v>
      </c>
      <c r="C351" t="s">
        <v>898</v>
      </c>
      <c r="D351" t="s">
        <v>899</v>
      </c>
      <c r="E351" t="b">
        <f>COUNTIF(R:R,D351)&gt;0</f>
        <v>1</v>
      </c>
      <c r="F351" t="str">
        <f t="shared" si="5"/>
        <v>OK</v>
      </c>
      <c r="G351" t="s">
        <v>30</v>
      </c>
      <c r="H351" s="1">
        <v>0.14000000000000001</v>
      </c>
      <c r="I351" t="s">
        <v>259</v>
      </c>
      <c r="J351" t="s">
        <v>900</v>
      </c>
      <c r="K351" t="s">
        <v>827</v>
      </c>
      <c r="M351" t="s">
        <v>21</v>
      </c>
      <c r="O351" t="s">
        <v>270</v>
      </c>
      <c r="R351" t="s">
        <v>1447</v>
      </c>
      <c r="S351" t="b">
        <f>COUNTIF(D:D,R351)&gt;0</f>
        <v>1</v>
      </c>
    </row>
    <row r="352" spans="1:19" x14ac:dyDescent="0.2">
      <c r="A352" t="s">
        <v>804</v>
      </c>
      <c r="B352" t="s">
        <v>860</v>
      </c>
      <c r="C352" t="s">
        <v>901</v>
      </c>
      <c r="D352" t="s">
        <v>899</v>
      </c>
      <c r="E352" t="b">
        <f>COUNTIF(R:R,D352)&gt;0</f>
        <v>1</v>
      </c>
      <c r="F352" t="str">
        <f t="shared" si="5"/>
        <v>OK</v>
      </c>
      <c r="G352" t="s">
        <v>30</v>
      </c>
      <c r="H352" s="1">
        <v>0.15</v>
      </c>
      <c r="I352" t="s">
        <v>105</v>
      </c>
      <c r="J352" t="s">
        <v>700</v>
      </c>
      <c r="K352" t="s">
        <v>827</v>
      </c>
      <c r="M352" t="s">
        <v>21</v>
      </c>
      <c r="O352" t="s">
        <v>270</v>
      </c>
      <c r="R352" t="s">
        <v>1367</v>
      </c>
      <c r="S352" t="b">
        <f>COUNTIF(D:D,R352)&gt;0</f>
        <v>1</v>
      </c>
    </row>
    <row r="353" spans="1:19" x14ac:dyDescent="0.2">
      <c r="A353" t="s">
        <v>902</v>
      </c>
      <c r="B353" t="s">
        <v>903</v>
      </c>
      <c r="C353" t="s">
        <v>904</v>
      </c>
      <c r="D353" t="s">
        <v>1675</v>
      </c>
      <c r="E353" t="b">
        <f>COUNTIF(R:R,D353)&gt;0</f>
        <v>1</v>
      </c>
      <c r="F353" t="str">
        <f t="shared" si="5"/>
        <v>OK</v>
      </c>
      <c r="G353" t="s">
        <v>30</v>
      </c>
      <c r="H353" s="1">
        <v>0</v>
      </c>
      <c r="I353" t="s">
        <v>766</v>
      </c>
      <c r="J353" t="s">
        <v>55</v>
      </c>
      <c r="K353" t="s">
        <v>594</v>
      </c>
      <c r="M353" t="s">
        <v>594</v>
      </c>
      <c r="O353" t="s">
        <v>594</v>
      </c>
      <c r="R353" t="s">
        <v>1454</v>
      </c>
      <c r="S353" t="b">
        <f>COUNTIF(D:D,R353)&gt;0</f>
        <v>1</v>
      </c>
    </row>
    <row r="354" spans="1:19" x14ac:dyDescent="0.2">
      <c r="A354" t="s">
        <v>902</v>
      </c>
      <c r="B354" t="s">
        <v>903</v>
      </c>
      <c r="C354" t="s">
        <v>905</v>
      </c>
      <c r="D354" t="s">
        <v>906</v>
      </c>
      <c r="E354" t="b">
        <f>COUNTIF(R:R,D354)&gt;0</f>
        <v>1</v>
      </c>
      <c r="F354" t="str">
        <f t="shared" si="5"/>
        <v>OK</v>
      </c>
      <c r="G354" t="s">
        <v>18</v>
      </c>
      <c r="H354" s="1">
        <v>0.15</v>
      </c>
      <c r="I354" t="s">
        <v>780</v>
      </c>
      <c r="J354" t="s">
        <v>907</v>
      </c>
      <c r="K354" t="s">
        <v>908</v>
      </c>
      <c r="M354" t="s">
        <v>146</v>
      </c>
      <c r="O354" t="s">
        <v>146</v>
      </c>
      <c r="P354" t="s">
        <v>594</v>
      </c>
      <c r="R354" t="s">
        <v>1456</v>
      </c>
      <c r="S354" t="b">
        <f>COUNTIF(D:D,R354)&gt;0</f>
        <v>1</v>
      </c>
    </row>
    <row r="355" spans="1:19" x14ac:dyDescent="0.2">
      <c r="A355" t="s">
        <v>902</v>
      </c>
      <c r="B355" t="s">
        <v>903</v>
      </c>
      <c r="C355" t="s">
        <v>909</v>
      </c>
      <c r="D355" t="s">
        <v>910</v>
      </c>
      <c r="E355" t="b">
        <f>COUNTIF(R:R,D355)&gt;0</f>
        <v>0</v>
      </c>
      <c r="F355" t="str">
        <f t="shared" si="5"/>
        <v>OK</v>
      </c>
      <c r="G355" t="s">
        <v>18</v>
      </c>
      <c r="H355" s="1">
        <v>0.05</v>
      </c>
      <c r="I355" t="s">
        <v>743</v>
      </c>
      <c r="K355" t="s">
        <v>594</v>
      </c>
      <c r="M355" t="s">
        <v>594</v>
      </c>
      <c r="O355" t="s">
        <v>594</v>
      </c>
      <c r="R355" t="s">
        <v>1713</v>
      </c>
      <c r="S355" t="b">
        <f>COUNTIF(D:D,R355)&gt;0</f>
        <v>1</v>
      </c>
    </row>
    <row r="356" spans="1:19" x14ac:dyDescent="0.2">
      <c r="A356" t="s">
        <v>902</v>
      </c>
      <c r="B356" t="s">
        <v>903</v>
      </c>
      <c r="C356" t="s">
        <v>911</v>
      </c>
      <c r="D356" t="s">
        <v>912</v>
      </c>
      <c r="E356" t="b">
        <f>COUNTIF(R:R,D356)&gt;0</f>
        <v>0</v>
      </c>
      <c r="F356" t="str">
        <f t="shared" si="5"/>
        <v>OK</v>
      </c>
      <c r="G356" t="s">
        <v>30</v>
      </c>
      <c r="R356" t="s">
        <v>1636</v>
      </c>
      <c r="S356" t="b">
        <f>COUNTIF(D:D,R356)&gt;0</f>
        <v>1</v>
      </c>
    </row>
    <row r="357" spans="1:19" x14ac:dyDescent="0.2">
      <c r="A357" t="s">
        <v>902</v>
      </c>
      <c r="B357" t="s">
        <v>903</v>
      </c>
      <c r="C357" t="s">
        <v>913</v>
      </c>
      <c r="D357" t="s">
        <v>914</v>
      </c>
      <c r="E357" t="b">
        <f>COUNTIF(R:R,D357)&gt;0</f>
        <v>1</v>
      </c>
      <c r="F357" t="str">
        <f t="shared" si="5"/>
        <v>OK</v>
      </c>
      <c r="G357" t="s">
        <v>30</v>
      </c>
      <c r="H357" s="1">
        <v>0</v>
      </c>
      <c r="I357" t="s">
        <v>915</v>
      </c>
      <c r="J357" t="s">
        <v>916</v>
      </c>
      <c r="K357" t="s">
        <v>594</v>
      </c>
      <c r="M357" t="s">
        <v>594</v>
      </c>
      <c r="O357" t="s">
        <v>594</v>
      </c>
      <c r="R357" t="s">
        <v>1649</v>
      </c>
      <c r="S357" t="b">
        <f>COUNTIF(D:D,R357)&gt;0</f>
        <v>1</v>
      </c>
    </row>
    <row r="358" spans="1:19" x14ac:dyDescent="0.2">
      <c r="A358" t="s">
        <v>902</v>
      </c>
      <c r="B358" t="s">
        <v>903</v>
      </c>
      <c r="C358" t="s">
        <v>917</v>
      </c>
      <c r="D358" t="s">
        <v>918</v>
      </c>
      <c r="E358" t="b">
        <f>COUNTIF(R:R,D358)&gt;0</f>
        <v>1</v>
      </c>
      <c r="F358" t="str">
        <f t="shared" si="5"/>
        <v>OK</v>
      </c>
      <c r="G358" t="s">
        <v>30</v>
      </c>
      <c r="H358" s="1">
        <v>0.05</v>
      </c>
      <c r="I358" t="s">
        <v>754</v>
      </c>
      <c r="K358" t="s">
        <v>594</v>
      </c>
      <c r="M358" t="s">
        <v>594</v>
      </c>
      <c r="O358" t="s">
        <v>594</v>
      </c>
      <c r="R358" t="s">
        <v>1466</v>
      </c>
      <c r="S358" t="b">
        <f>COUNTIF(D:D,R358)&gt;0</f>
        <v>1</v>
      </c>
    </row>
    <row r="359" spans="1:19" x14ac:dyDescent="0.2">
      <c r="A359" t="s">
        <v>902</v>
      </c>
      <c r="B359" t="s">
        <v>903</v>
      </c>
      <c r="C359" t="s">
        <v>919</v>
      </c>
      <c r="D359" t="s">
        <v>918</v>
      </c>
      <c r="E359" t="b">
        <f>COUNTIF(R:R,D359)&gt;0</f>
        <v>1</v>
      </c>
      <c r="F359" t="str">
        <f t="shared" si="5"/>
        <v>OK</v>
      </c>
      <c r="G359" t="s">
        <v>30</v>
      </c>
      <c r="H359" s="1">
        <v>0.05</v>
      </c>
      <c r="I359" t="s">
        <v>754</v>
      </c>
      <c r="K359" t="s">
        <v>594</v>
      </c>
      <c r="M359" t="s">
        <v>594</v>
      </c>
      <c r="O359" t="s">
        <v>594</v>
      </c>
      <c r="R359" t="s">
        <v>1469</v>
      </c>
      <c r="S359" t="b">
        <f>COUNTIF(D:D,R359)&gt;0</f>
        <v>1</v>
      </c>
    </row>
    <row r="360" spans="1:19" x14ac:dyDescent="0.2">
      <c r="A360" t="s">
        <v>902</v>
      </c>
      <c r="B360" t="s">
        <v>903</v>
      </c>
      <c r="C360" t="s">
        <v>920</v>
      </c>
      <c r="D360" t="s">
        <v>921</v>
      </c>
      <c r="E360" t="b">
        <f>COUNTIF(R:R,D360)&gt;0</f>
        <v>1</v>
      </c>
      <c r="F360" t="str">
        <f t="shared" si="5"/>
        <v>OK</v>
      </c>
      <c r="G360" t="s">
        <v>18</v>
      </c>
      <c r="H360" s="1">
        <v>0.05</v>
      </c>
      <c r="I360" t="s">
        <v>738</v>
      </c>
      <c r="J360" t="s">
        <v>922</v>
      </c>
      <c r="K360" t="s">
        <v>146</v>
      </c>
      <c r="M360" t="s">
        <v>146</v>
      </c>
      <c r="O360" t="s">
        <v>146</v>
      </c>
      <c r="R360" t="s">
        <v>1682</v>
      </c>
      <c r="S360" t="b">
        <f>COUNTIF(D:D,R360)&gt;0</f>
        <v>1</v>
      </c>
    </row>
    <row r="361" spans="1:19" x14ac:dyDescent="0.2">
      <c r="A361" t="s">
        <v>902</v>
      </c>
      <c r="B361" t="s">
        <v>903</v>
      </c>
      <c r="C361" t="s">
        <v>923</v>
      </c>
      <c r="D361" t="s">
        <v>924</v>
      </c>
      <c r="E361" t="b">
        <f>COUNTIF(R:R,D361)&gt;0</f>
        <v>1</v>
      </c>
      <c r="F361" t="str">
        <f t="shared" si="5"/>
        <v>OK</v>
      </c>
      <c r="G361" t="s">
        <v>30</v>
      </c>
      <c r="H361" s="1">
        <v>0</v>
      </c>
      <c r="I361" t="s">
        <v>766</v>
      </c>
      <c r="K361" t="s">
        <v>594</v>
      </c>
      <c r="M361" t="s">
        <v>594</v>
      </c>
      <c r="O361" t="s">
        <v>594</v>
      </c>
      <c r="R361" t="s">
        <v>1473</v>
      </c>
      <c r="S361" t="b">
        <f>COUNTIF(D:D,R361)&gt;0</f>
        <v>1</v>
      </c>
    </row>
    <row r="362" spans="1:19" x14ac:dyDescent="0.2">
      <c r="A362" t="s">
        <v>902</v>
      </c>
      <c r="B362" t="s">
        <v>903</v>
      </c>
      <c r="C362" t="s">
        <v>925</v>
      </c>
      <c r="D362" t="s">
        <v>926</v>
      </c>
      <c r="E362" t="b">
        <f>COUNTIF(R:R,D362)&gt;0</f>
        <v>1</v>
      </c>
      <c r="F362" t="str">
        <f t="shared" si="5"/>
        <v>OK</v>
      </c>
      <c r="G362" t="s">
        <v>30</v>
      </c>
      <c r="H362" s="1">
        <v>0</v>
      </c>
      <c r="I362" t="s">
        <v>743</v>
      </c>
      <c r="K362" t="s">
        <v>594</v>
      </c>
      <c r="M362" t="s">
        <v>594</v>
      </c>
      <c r="N362" t="s">
        <v>55</v>
      </c>
      <c r="O362" t="s">
        <v>594</v>
      </c>
      <c r="R362" t="s">
        <v>1629</v>
      </c>
      <c r="S362" t="b">
        <f>COUNTIF(D:D,R362)&gt;0</f>
        <v>1</v>
      </c>
    </row>
    <row r="363" spans="1:19" x14ac:dyDescent="0.2">
      <c r="A363" t="s">
        <v>902</v>
      </c>
      <c r="B363" t="s">
        <v>903</v>
      </c>
      <c r="C363" t="s">
        <v>788</v>
      </c>
      <c r="D363" t="s">
        <v>789</v>
      </c>
      <c r="E363" t="b">
        <f>COUNTIF(R:R,D363)&gt;0</f>
        <v>1</v>
      </c>
      <c r="F363" t="str">
        <f t="shared" si="5"/>
        <v>OK</v>
      </c>
      <c r="G363" t="s">
        <v>30</v>
      </c>
      <c r="H363" s="1">
        <v>0.55000000000000004</v>
      </c>
      <c r="I363" t="s">
        <v>790</v>
      </c>
      <c r="K363" t="s">
        <v>270</v>
      </c>
      <c r="M363" t="s">
        <v>270</v>
      </c>
      <c r="N363" t="s">
        <v>55</v>
      </c>
      <c r="O363" t="s">
        <v>270</v>
      </c>
      <c r="P363" t="s">
        <v>594</v>
      </c>
      <c r="R363" t="s">
        <v>325</v>
      </c>
      <c r="S363" t="b">
        <f>COUNTIF(D:D,R363)&gt;0</f>
        <v>1</v>
      </c>
    </row>
    <row r="364" spans="1:19" x14ac:dyDescent="0.2">
      <c r="A364" t="s">
        <v>902</v>
      </c>
      <c r="B364" t="s">
        <v>903</v>
      </c>
      <c r="C364" t="s">
        <v>927</v>
      </c>
      <c r="D364" t="s">
        <v>928</v>
      </c>
      <c r="E364" t="b">
        <f>COUNTIF(R:R,D364)&gt;0</f>
        <v>1</v>
      </c>
      <c r="F364" t="str">
        <f t="shared" si="5"/>
        <v>OK</v>
      </c>
      <c r="G364" t="s">
        <v>30</v>
      </c>
      <c r="H364" s="1">
        <v>0.01</v>
      </c>
      <c r="I364" t="s">
        <v>743</v>
      </c>
      <c r="K364" t="s">
        <v>594</v>
      </c>
      <c r="M364" t="s">
        <v>594</v>
      </c>
      <c r="O364" t="s">
        <v>594</v>
      </c>
      <c r="R364" t="s">
        <v>1478</v>
      </c>
      <c r="S364" t="b">
        <f>COUNTIF(D:D,R364)&gt;0</f>
        <v>1</v>
      </c>
    </row>
    <row r="365" spans="1:19" x14ac:dyDescent="0.2">
      <c r="A365" t="s">
        <v>902</v>
      </c>
      <c r="B365" t="s">
        <v>903</v>
      </c>
      <c r="C365" t="s">
        <v>929</v>
      </c>
      <c r="D365" t="s">
        <v>928</v>
      </c>
      <c r="E365" t="b">
        <f>COUNTIF(R:R,D365)&gt;0</f>
        <v>1</v>
      </c>
      <c r="F365" t="str">
        <f t="shared" si="5"/>
        <v>OK</v>
      </c>
      <c r="G365" t="s">
        <v>30</v>
      </c>
      <c r="H365" s="1">
        <v>0.01</v>
      </c>
      <c r="I365" t="s">
        <v>743</v>
      </c>
      <c r="K365" t="s">
        <v>594</v>
      </c>
      <c r="M365" t="s">
        <v>594</v>
      </c>
      <c r="O365" t="s">
        <v>594</v>
      </c>
      <c r="R365" t="s">
        <v>1480</v>
      </c>
      <c r="S365" t="b">
        <f>COUNTIF(D:D,R365)&gt;0</f>
        <v>1</v>
      </c>
    </row>
    <row r="366" spans="1:19" x14ac:dyDescent="0.2">
      <c r="A366" t="s">
        <v>902</v>
      </c>
      <c r="B366" t="s">
        <v>903</v>
      </c>
      <c r="C366" t="s">
        <v>930</v>
      </c>
      <c r="D366" t="s">
        <v>931</v>
      </c>
      <c r="E366" t="b">
        <f>COUNTIF(R:R,D366)&gt;0</f>
        <v>1</v>
      </c>
      <c r="F366" t="str">
        <f t="shared" si="5"/>
        <v>OK</v>
      </c>
      <c r="G366" t="s">
        <v>30</v>
      </c>
      <c r="H366" s="1">
        <v>0</v>
      </c>
      <c r="I366" t="s">
        <v>750</v>
      </c>
      <c r="K366" t="s">
        <v>594</v>
      </c>
      <c r="M366" t="s">
        <v>594</v>
      </c>
      <c r="O366" t="s">
        <v>594</v>
      </c>
      <c r="R366" t="s">
        <v>1482</v>
      </c>
      <c r="S366" t="b">
        <f>COUNTIF(D:D,R366)&gt;0</f>
        <v>1</v>
      </c>
    </row>
    <row r="367" spans="1:19" x14ac:dyDescent="0.2">
      <c r="A367" t="s">
        <v>902</v>
      </c>
      <c r="B367" t="s">
        <v>903</v>
      </c>
      <c r="C367" t="s">
        <v>932</v>
      </c>
      <c r="D367" t="s">
        <v>933</v>
      </c>
      <c r="E367" t="b">
        <f>COUNTIF(R:R,D367)&gt;0</f>
        <v>1</v>
      </c>
      <c r="F367" t="str">
        <f t="shared" si="5"/>
        <v>OK</v>
      </c>
      <c r="G367" t="s">
        <v>18</v>
      </c>
      <c r="H367" s="1">
        <v>0</v>
      </c>
      <c r="I367" s="1">
        <v>0.9</v>
      </c>
      <c r="K367" t="s">
        <v>594</v>
      </c>
      <c r="M367" t="s">
        <v>594</v>
      </c>
      <c r="O367" t="s">
        <v>594</v>
      </c>
      <c r="R367" t="s">
        <v>1671</v>
      </c>
      <c r="S367" t="b">
        <f>COUNTIF(D:D,R367)&gt;0</f>
        <v>1</v>
      </c>
    </row>
    <row r="368" spans="1:19" x14ac:dyDescent="0.2">
      <c r="A368" t="s">
        <v>902</v>
      </c>
      <c r="B368" t="s">
        <v>903</v>
      </c>
      <c r="C368" t="s">
        <v>934</v>
      </c>
      <c r="D368" t="s">
        <v>935</v>
      </c>
      <c r="E368" t="b">
        <f>COUNTIF(R:R,D368)&gt;0</f>
        <v>1</v>
      </c>
      <c r="F368" t="str">
        <f t="shared" si="5"/>
        <v>OK</v>
      </c>
      <c r="G368" t="s">
        <v>30</v>
      </c>
      <c r="H368" s="1">
        <v>0</v>
      </c>
      <c r="I368" t="s">
        <v>743</v>
      </c>
      <c r="K368" t="s">
        <v>594</v>
      </c>
      <c r="M368" t="s">
        <v>594</v>
      </c>
      <c r="O368" t="s">
        <v>594</v>
      </c>
      <c r="R368" t="s">
        <v>1487</v>
      </c>
      <c r="S368" t="b">
        <f>COUNTIF(D:D,R368)&gt;0</f>
        <v>1</v>
      </c>
    </row>
    <row r="369" spans="1:19" x14ac:dyDescent="0.2">
      <c r="A369" t="s">
        <v>902</v>
      </c>
      <c r="B369" t="s">
        <v>903</v>
      </c>
      <c r="C369" t="s">
        <v>936</v>
      </c>
      <c r="D369" t="s">
        <v>935</v>
      </c>
      <c r="E369" t="b">
        <f>COUNTIF(R:R,D369)&gt;0</f>
        <v>1</v>
      </c>
      <c r="F369" t="str">
        <f t="shared" si="5"/>
        <v>OK</v>
      </c>
      <c r="G369" t="s">
        <v>30</v>
      </c>
      <c r="H369" s="1">
        <v>0.05</v>
      </c>
      <c r="I369" t="s">
        <v>743</v>
      </c>
      <c r="K369" t="s">
        <v>594</v>
      </c>
      <c r="M369" t="s">
        <v>594</v>
      </c>
      <c r="O369" t="s">
        <v>594</v>
      </c>
      <c r="R369" t="s">
        <v>1491</v>
      </c>
      <c r="S369" t="b">
        <f>COUNTIF(D:D,R369)&gt;0</f>
        <v>1</v>
      </c>
    </row>
    <row r="370" spans="1:19" x14ac:dyDescent="0.2">
      <c r="A370" t="s">
        <v>902</v>
      </c>
      <c r="B370" t="s">
        <v>903</v>
      </c>
      <c r="C370" t="s">
        <v>937</v>
      </c>
      <c r="D370" t="s">
        <v>938</v>
      </c>
      <c r="E370" t="b">
        <f>COUNTIF(R:R,D370)&gt;0</f>
        <v>1</v>
      </c>
      <c r="F370" t="str">
        <f t="shared" si="5"/>
        <v>OK</v>
      </c>
      <c r="G370" t="s">
        <v>30</v>
      </c>
      <c r="H370" s="1">
        <v>0.6</v>
      </c>
      <c r="I370" t="s">
        <v>738</v>
      </c>
      <c r="K370" t="s">
        <v>270</v>
      </c>
      <c r="M370" t="s">
        <v>594</v>
      </c>
      <c r="O370" t="s">
        <v>270</v>
      </c>
      <c r="R370" t="s">
        <v>1501</v>
      </c>
      <c r="S370" t="b">
        <f>COUNTIF(D:D,R370)&gt;0</f>
        <v>1</v>
      </c>
    </row>
    <row r="371" spans="1:19" x14ac:dyDescent="0.2">
      <c r="A371" t="s">
        <v>939</v>
      </c>
      <c r="B371" t="s">
        <v>940</v>
      </c>
      <c r="C371" t="s">
        <v>941</v>
      </c>
      <c r="D371" t="s">
        <v>942</v>
      </c>
      <c r="E371" t="b">
        <f>COUNTIF(R:R,D371)&gt;0</f>
        <v>0</v>
      </c>
      <c r="F371" t="str">
        <f t="shared" si="5"/>
        <v>OK</v>
      </c>
      <c r="G371" t="s">
        <v>18</v>
      </c>
      <c r="H371" s="1">
        <v>0</v>
      </c>
      <c r="K371" t="s">
        <v>21</v>
      </c>
      <c r="M371" t="s">
        <v>236</v>
      </c>
      <c r="O371" t="s">
        <v>236</v>
      </c>
      <c r="R371" t="s">
        <v>1508</v>
      </c>
      <c r="S371" t="b">
        <f>COUNTIF(D:D,R371)&gt;0</f>
        <v>1</v>
      </c>
    </row>
    <row r="372" spans="1:19" x14ac:dyDescent="0.2">
      <c r="A372" t="s">
        <v>943</v>
      </c>
      <c r="B372" t="s">
        <v>943</v>
      </c>
      <c r="C372" t="s">
        <v>944</v>
      </c>
      <c r="D372" t="s">
        <v>945</v>
      </c>
      <c r="E372" t="b">
        <f>COUNTIF(R:R,D372)&gt;0</f>
        <v>1</v>
      </c>
      <c r="F372" t="str">
        <f t="shared" si="5"/>
        <v>OK</v>
      </c>
      <c r="G372" t="s">
        <v>18</v>
      </c>
      <c r="H372" s="1">
        <v>0</v>
      </c>
      <c r="I372" t="s">
        <v>120</v>
      </c>
      <c r="J372" t="s">
        <v>946</v>
      </c>
      <c r="K372" t="s">
        <v>353</v>
      </c>
      <c r="M372" t="s">
        <v>35</v>
      </c>
      <c r="O372" t="s">
        <v>22</v>
      </c>
      <c r="R372" t="s">
        <v>1651</v>
      </c>
      <c r="S372" t="b">
        <f>COUNTIF(D:D,R372)&gt;0</f>
        <v>1</v>
      </c>
    </row>
    <row r="373" spans="1:19" x14ac:dyDescent="0.2">
      <c r="A373" t="s">
        <v>943</v>
      </c>
      <c r="B373" t="s">
        <v>943</v>
      </c>
      <c r="C373" t="s">
        <v>947</v>
      </c>
      <c r="D373" t="s">
        <v>945</v>
      </c>
      <c r="E373" t="b">
        <f>COUNTIF(R:R,D373)&gt;0</f>
        <v>1</v>
      </c>
      <c r="F373" t="str">
        <f t="shared" si="5"/>
        <v>OK</v>
      </c>
      <c r="G373" t="s">
        <v>18</v>
      </c>
      <c r="H373" s="1">
        <v>0</v>
      </c>
      <c r="I373" t="s">
        <v>948</v>
      </c>
      <c r="J373" t="s">
        <v>241</v>
      </c>
      <c r="K373" t="s">
        <v>353</v>
      </c>
      <c r="M373" t="s">
        <v>35</v>
      </c>
      <c r="O373" t="s">
        <v>22</v>
      </c>
      <c r="R373" t="s">
        <v>1685</v>
      </c>
      <c r="S373" t="b">
        <f>COUNTIF(D:D,R373)&gt;0</f>
        <v>1</v>
      </c>
    </row>
    <row r="374" spans="1:19" x14ac:dyDescent="0.2">
      <c r="A374" t="s">
        <v>943</v>
      </c>
      <c r="B374" t="s">
        <v>943</v>
      </c>
      <c r="C374" t="s">
        <v>949</v>
      </c>
      <c r="D374" t="s">
        <v>950</v>
      </c>
      <c r="E374" t="b">
        <f>COUNTIF(R:R,D374)&gt;0</f>
        <v>1</v>
      </c>
      <c r="F374" t="str">
        <f t="shared" si="5"/>
        <v>OK</v>
      </c>
      <c r="G374" t="s">
        <v>18</v>
      </c>
      <c r="H374" s="1">
        <v>0</v>
      </c>
      <c r="I374" t="s">
        <v>951</v>
      </c>
      <c r="J374" t="s">
        <v>192</v>
      </c>
      <c r="K374" t="s">
        <v>353</v>
      </c>
      <c r="M374" t="s">
        <v>353</v>
      </c>
      <c r="O374" t="s">
        <v>353</v>
      </c>
      <c r="R374" t="s">
        <v>1525</v>
      </c>
      <c r="S374" t="b">
        <f>COUNTIF(D:D,R374)&gt;0</f>
        <v>1</v>
      </c>
    </row>
    <row r="375" spans="1:19" x14ac:dyDescent="0.2">
      <c r="A375" t="s">
        <v>943</v>
      </c>
      <c r="B375" t="s">
        <v>943</v>
      </c>
      <c r="C375" t="s">
        <v>952</v>
      </c>
      <c r="D375" t="s">
        <v>950</v>
      </c>
      <c r="E375" t="b">
        <f>COUNTIF(R:R,D375)&gt;0</f>
        <v>1</v>
      </c>
      <c r="F375" t="str">
        <f t="shared" si="5"/>
        <v>OK</v>
      </c>
      <c r="G375" t="s">
        <v>18</v>
      </c>
      <c r="H375" s="1">
        <v>0</v>
      </c>
      <c r="I375" t="s">
        <v>953</v>
      </c>
      <c r="J375" t="s">
        <v>302</v>
      </c>
      <c r="K375" t="s">
        <v>353</v>
      </c>
      <c r="M375" t="s">
        <v>353</v>
      </c>
      <c r="O375" t="s">
        <v>353</v>
      </c>
      <c r="R375" t="s">
        <v>1531</v>
      </c>
      <c r="S375" t="b">
        <f>COUNTIF(D:D,R375)&gt;0</f>
        <v>1</v>
      </c>
    </row>
    <row r="376" spans="1:19" x14ac:dyDescent="0.2">
      <c r="A376" t="s">
        <v>943</v>
      </c>
      <c r="B376" t="s">
        <v>943</v>
      </c>
      <c r="C376" t="s">
        <v>954</v>
      </c>
      <c r="D376" t="s">
        <v>955</v>
      </c>
      <c r="E376" t="b">
        <f>COUNTIF(R:R,D376)&gt;0</f>
        <v>0</v>
      </c>
      <c r="F376" t="str">
        <f t="shared" si="5"/>
        <v>OK</v>
      </c>
      <c r="G376" t="s">
        <v>18</v>
      </c>
      <c r="H376" s="1">
        <v>0</v>
      </c>
      <c r="I376" t="s">
        <v>956</v>
      </c>
      <c r="J376" t="s">
        <v>957</v>
      </c>
      <c r="K376" t="s">
        <v>353</v>
      </c>
      <c r="M376" t="s">
        <v>353</v>
      </c>
      <c r="O376" t="s">
        <v>353</v>
      </c>
      <c r="R376" t="s">
        <v>1534</v>
      </c>
      <c r="S376" t="b">
        <f>COUNTIF(D:D,R376)&gt;0</f>
        <v>1</v>
      </c>
    </row>
    <row r="377" spans="1:19" x14ac:dyDescent="0.2">
      <c r="A377" t="s">
        <v>943</v>
      </c>
      <c r="B377" t="s">
        <v>943</v>
      </c>
      <c r="C377" t="s">
        <v>958</v>
      </c>
      <c r="D377" t="s">
        <v>959</v>
      </c>
      <c r="E377" t="b">
        <f>COUNTIF(R:R,D377)&gt;0</f>
        <v>1</v>
      </c>
      <c r="F377" t="str">
        <f t="shared" si="5"/>
        <v>OK</v>
      </c>
      <c r="G377" t="s">
        <v>30</v>
      </c>
      <c r="H377" s="1">
        <v>0</v>
      </c>
      <c r="I377" t="s">
        <v>220</v>
      </c>
      <c r="K377" t="s">
        <v>353</v>
      </c>
      <c r="M377" t="s">
        <v>22</v>
      </c>
      <c r="O377" t="s">
        <v>22</v>
      </c>
      <c r="R377" t="s">
        <v>1537</v>
      </c>
      <c r="S377" t="b">
        <f>COUNTIF(D:D,R377)&gt;0</f>
        <v>1</v>
      </c>
    </row>
    <row r="378" spans="1:19" x14ac:dyDescent="0.2">
      <c r="A378" t="s">
        <v>960</v>
      </c>
      <c r="B378" t="s">
        <v>961</v>
      </c>
      <c r="C378" t="s">
        <v>962</v>
      </c>
      <c r="D378" t="s">
        <v>963</v>
      </c>
      <c r="E378" t="b">
        <f>COUNTIF(R:R,D378)&gt;0</f>
        <v>0</v>
      </c>
      <c r="F378" t="str">
        <f t="shared" si="5"/>
        <v>OK</v>
      </c>
      <c r="G378" t="s">
        <v>18</v>
      </c>
      <c r="R378" t="s">
        <v>1541</v>
      </c>
      <c r="S378" t="b">
        <f>COUNTIF(D:D,R378)&gt;0</f>
        <v>1</v>
      </c>
    </row>
    <row r="379" spans="1:19" x14ac:dyDescent="0.2">
      <c r="A379" t="s">
        <v>960</v>
      </c>
      <c r="B379" t="s">
        <v>961</v>
      </c>
      <c r="C379" t="s">
        <v>964</v>
      </c>
      <c r="D379" t="s">
        <v>963</v>
      </c>
      <c r="E379" t="b">
        <f>COUNTIF(R:R,D379)&gt;0</f>
        <v>0</v>
      </c>
      <c r="F379" t="str">
        <f t="shared" si="5"/>
        <v>OK</v>
      </c>
      <c r="G379" t="s">
        <v>18</v>
      </c>
      <c r="R379" t="s">
        <v>1550</v>
      </c>
      <c r="S379" t="b">
        <f>COUNTIF(D:D,R379)&gt;0</f>
        <v>1</v>
      </c>
    </row>
    <row r="380" spans="1:19" x14ac:dyDescent="0.2">
      <c r="A380" t="s">
        <v>960</v>
      </c>
      <c r="B380" t="s">
        <v>323</v>
      </c>
      <c r="C380" t="s">
        <v>965</v>
      </c>
      <c r="D380" t="s">
        <v>1718</v>
      </c>
      <c r="E380" t="b">
        <f>COUNTIF(R:R,D380)&gt;0</f>
        <v>0</v>
      </c>
      <c r="F380" t="str">
        <f t="shared" si="5"/>
        <v>OK</v>
      </c>
      <c r="G380" t="s">
        <v>18</v>
      </c>
      <c r="R380" t="s">
        <v>1560</v>
      </c>
      <c r="S380" t="b">
        <f>COUNTIF(D:D,R380)&gt;0</f>
        <v>1</v>
      </c>
    </row>
    <row r="381" spans="1:19" x14ac:dyDescent="0.2">
      <c r="A381" t="s">
        <v>960</v>
      </c>
      <c r="B381" t="s">
        <v>323</v>
      </c>
      <c r="C381" t="s">
        <v>967</v>
      </c>
      <c r="D381" t="s">
        <v>966</v>
      </c>
      <c r="E381" t="b">
        <f>COUNTIF(R:R,D381)&gt;0</f>
        <v>0</v>
      </c>
      <c r="F381" t="str">
        <f t="shared" si="5"/>
        <v>OK</v>
      </c>
      <c r="G381" t="s">
        <v>18</v>
      </c>
      <c r="R381" t="s">
        <v>1566</v>
      </c>
      <c r="S381" t="b">
        <f>COUNTIF(D:D,R381)&gt;0</f>
        <v>1</v>
      </c>
    </row>
    <row r="382" spans="1:19" x14ac:dyDescent="0.2">
      <c r="A382" t="s">
        <v>960</v>
      </c>
      <c r="B382" t="s">
        <v>323</v>
      </c>
      <c r="C382" t="s">
        <v>968</v>
      </c>
      <c r="D382" t="s">
        <v>966</v>
      </c>
      <c r="E382" t="b">
        <f>COUNTIF(R:R,D382)&gt;0</f>
        <v>0</v>
      </c>
      <c r="F382" t="str">
        <f t="shared" si="5"/>
        <v>OK</v>
      </c>
      <c r="G382" t="s">
        <v>18</v>
      </c>
      <c r="R382" t="s">
        <v>1574</v>
      </c>
      <c r="S382" t="b">
        <f>COUNTIF(D:D,R382)&gt;0</f>
        <v>1</v>
      </c>
    </row>
    <row r="383" spans="1:19" x14ac:dyDescent="0.2">
      <c r="A383" t="s">
        <v>960</v>
      </c>
      <c r="B383" t="s">
        <v>461</v>
      </c>
      <c r="C383" t="s">
        <v>969</v>
      </c>
      <c r="D383" t="s">
        <v>970</v>
      </c>
      <c r="E383" t="b">
        <f>COUNTIF(R:R,D383)&gt;0</f>
        <v>0</v>
      </c>
      <c r="F383" t="str">
        <f t="shared" si="5"/>
        <v>OK</v>
      </c>
      <c r="G383" t="s">
        <v>18</v>
      </c>
      <c r="H383" s="1">
        <v>0</v>
      </c>
      <c r="I383" t="s">
        <v>733</v>
      </c>
      <c r="K383" t="s">
        <v>236</v>
      </c>
      <c r="M383" t="s">
        <v>236</v>
      </c>
      <c r="O383" t="s">
        <v>236</v>
      </c>
      <c r="R383" t="s">
        <v>1557</v>
      </c>
      <c r="S383" t="b">
        <f>COUNTIF(D:D,R383)&gt;0</f>
        <v>1</v>
      </c>
    </row>
    <row r="384" spans="1:19" x14ac:dyDescent="0.2">
      <c r="A384" t="s">
        <v>960</v>
      </c>
      <c r="B384" t="s">
        <v>461</v>
      </c>
      <c r="C384" t="s">
        <v>971</v>
      </c>
      <c r="D384" t="s">
        <v>972</v>
      </c>
      <c r="E384" t="b">
        <f>COUNTIF(R:R,D384)&gt;0</f>
        <v>1</v>
      </c>
      <c r="F384" t="str">
        <f t="shared" si="5"/>
        <v>OK</v>
      </c>
      <c r="G384" t="s">
        <v>18</v>
      </c>
      <c r="H384" s="1">
        <v>0.05</v>
      </c>
      <c r="I384" t="s">
        <v>973</v>
      </c>
      <c r="J384" t="s">
        <v>715</v>
      </c>
      <c r="K384" t="s">
        <v>146</v>
      </c>
      <c r="M384" t="s">
        <v>146</v>
      </c>
      <c r="O384" t="s">
        <v>640</v>
      </c>
      <c r="R384" t="s">
        <v>1578</v>
      </c>
      <c r="S384" t="b">
        <f>COUNTIF(D:D,R384)&gt;0</f>
        <v>1</v>
      </c>
    </row>
    <row r="385" spans="1:19" x14ac:dyDescent="0.2">
      <c r="A385" t="s">
        <v>960</v>
      </c>
      <c r="B385" t="s">
        <v>461</v>
      </c>
      <c r="C385" t="s">
        <v>974</v>
      </c>
      <c r="D385" t="s">
        <v>1712</v>
      </c>
      <c r="E385" t="b">
        <f>COUNTIF(R:R,D385)&gt;0</f>
        <v>1</v>
      </c>
      <c r="F385" t="str">
        <f t="shared" si="5"/>
        <v>OK</v>
      </c>
      <c r="G385" t="s">
        <v>18</v>
      </c>
      <c r="H385" s="1">
        <v>0</v>
      </c>
      <c r="I385" t="s">
        <v>975</v>
      </c>
      <c r="J385" t="s">
        <v>55</v>
      </c>
      <c r="K385" t="s">
        <v>236</v>
      </c>
      <c r="M385" t="s">
        <v>236</v>
      </c>
      <c r="O385" t="s">
        <v>236</v>
      </c>
      <c r="R385" t="s">
        <v>1582</v>
      </c>
      <c r="S385" t="b">
        <f>COUNTIF(D:D,R385)&gt;0</f>
        <v>1</v>
      </c>
    </row>
    <row r="386" spans="1:19" x14ac:dyDescent="0.2">
      <c r="A386" t="s">
        <v>960</v>
      </c>
      <c r="B386" t="s">
        <v>461</v>
      </c>
      <c r="C386" t="s">
        <v>976</v>
      </c>
      <c r="D386" t="s">
        <v>977</v>
      </c>
      <c r="E386" t="b">
        <f>COUNTIF(R:R,D386)&gt;0</f>
        <v>1</v>
      </c>
      <c r="F386" t="str">
        <f t="shared" si="5"/>
        <v>OK</v>
      </c>
      <c r="G386" t="s">
        <v>30</v>
      </c>
      <c r="H386" s="1">
        <v>0</v>
      </c>
      <c r="I386" t="s">
        <v>975</v>
      </c>
      <c r="K386" t="s">
        <v>236</v>
      </c>
      <c r="M386" t="s">
        <v>236</v>
      </c>
      <c r="O386" t="s">
        <v>236</v>
      </c>
      <c r="R386" t="s">
        <v>1598</v>
      </c>
      <c r="S386" t="b">
        <f>COUNTIF(D:D,R386)&gt;0</f>
        <v>1</v>
      </c>
    </row>
    <row r="387" spans="1:19" x14ac:dyDescent="0.2">
      <c r="A387" t="s">
        <v>960</v>
      </c>
      <c r="B387" t="s">
        <v>461</v>
      </c>
      <c r="C387" t="s">
        <v>978</v>
      </c>
      <c r="D387" t="s">
        <v>979</v>
      </c>
      <c r="E387" t="b">
        <f>COUNTIF(R:R,D387)&gt;0</f>
        <v>1</v>
      </c>
      <c r="F387" t="str">
        <f t="shared" ref="F387:F450" si="6">IF(COUNTIF(C387,"*hybrid*")&gt;0,
     IF(COUNTIF(D387,"*hybrid*")&gt;0,"OK","Mismatch"),
     "OK")</f>
        <v>OK</v>
      </c>
      <c r="G387" t="s">
        <v>30</v>
      </c>
      <c r="H387" s="1">
        <v>0</v>
      </c>
      <c r="I387" t="s">
        <v>975</v>
      </c>
      <c r="K387" t="s">
        <v>236</v>
      </c>
      <c r="M387" t="s">
        <v>236</v>
      </c>
      <c r="O387" t="s">
        <v>236</v>
      </c>
      <c r="R387" t="s">
        <v>1608</v>
      </c>
      <c r="S387" t="b">
        <f>COUNTIF(D:D,R387)&gt;0</f>
        <v>1</v>
      </c>
    </row>
    <row r="388" spans="1:19" x14ac:dyDescent="0.2">
      <c r="A388" t="s">
        <v>960</v>
      </c>
      <c r="B388" t="s">
        <v>461</v>
      </c>
      <c r="C388" t="s">
        <v>980</v>
      </c>
      <c r="D388" t="s">
        <v>981</v>
      </c>
      <c r="E388" t="b">
        <f>COUNTIF(R:R,D388)&gt;0</f>
        <v>0</v>
      </c>
      <c r="F388" t="str">
        <f t="shared" si="6"/>
        <v>OK</v>
      </c>
      <c r="G388" t="s">
        <v>18</v>
      </c>
      <c r="R388" t="s">
        <v>1613</v>
      </c>
      <c r="S388" t="b">
        <f>COUNTIF(D:D,R388)&gt;0</f>
        <v>1</v>
      </c>
    </row>
    <row r="389" spans="1:19" x14ac:dyDescent="0.2">
      <c r="A389" t="s">
        <v>960</v>
      </c>
      <c r="B389" t="s">
        <v>461</v>
      </c>
      <c r="C389" t="s">
        <v>982</v>
      </c>
      <c r="D389" t="s">
        <v>983</v>
      </c>
      <c r="E389" t="b">
        <f>COUNTIF(R:R,D389)&gt;0</f>
        <v>0</v>
      </c>
      <c r="F389" t="str">
        <f t="shared" si="6"/>
        <v>OK</v>
      </c>
      <c r="G389" t="s">
        <v>18</v>
      </c>
      <c r="H389" s="1">
        <v>0.05</v>
      </c>
      <c r="I389" t="s">
        <v>984</v>
      </c>
      <c r="J389" t="s">
        <v>703</v>
      </c>
      <c r="K389" t="s">
        <v>146</v>
      </c>
      <c r="M389" t="s">
        <v>146</v>
      </c>
      <c r="O389" t="s">
        <v>236</v>
      </c>
      <c r="R389" t="s">
        <v>1621</v>
      </c>
      <c r="S389" t="b">
        <f>COUNTIF(D:D,R389)&gt;0</f>
        <v>1</v>
      </c>
    </row>
    <row r="390" spans="1:19" x14ac:dyDescent="0.2">
      <c r="A390" t="s">
        <v>960</v>
      </c>
      <c r="B390" t="s">
        <v>461</v>
      </c>
      <c r="C390" t="s">
        <v>985</v>
      </c>
      <c r="D390" t="s">
        <v>986</v>
      </c>
      <c r="E390" t="b">
        <f>COUNTIF(R:R,D390)&gt;0</f>
        <v>1</v>
      </c>
      <c r="F390" t="str">
        <f t="shared" si="6"/>
        <v>OK</v>
      </c>
      <c r="G390" t="s">
        <v>18</v>
      </c>
      <c r="H390" s="1">
        <v>0</v>
      </c>
      <c r="I390" t="s">
        <v>733</v>
      </c>
      <c r="K390" t="s">
        <v>236</v>
      </c>
      <c r="M390" t="s">
        <v>236</v>
      </c>
      <c r="O390" t="s">
        <v>236</v>
      </c>
    </row>
    <row r="391" spans="1:19" x14ac:dyDescent="0.2">
      <c r="A391" t="s">
        <v>960</v>
      </c>
      <c r="B391" t="s">
        <v>461</v>
      </c>
      <c r="C391" t="s">
        <v>985</v>
      </c>
      <c r="D391" t="s">
        <v>986</v>
      </c>
      <c r="E391" t="b">
        <f>COUNTIF(R:R,D391)&gt;0</f>
        <v>1</v>
      </c>
      <c r="F391" t="str">
        <f t="shared" si="6"/>
        <v>OK</v>
      </c>
      <c r="G391" t="s">
        <v>18</v>
      </c>
      <c r="H391" s="1">
        <v>0.05</v>
      </c>
      <c r="I391" t="s">
        <v>984</v>
      </c>
      <c r="J391" t="s">
        <v>715</v>
      </c>
      <c r="K391" t="s">
        <v>146</v>
      </c>
      <c r="M391" t="s">
        <v>146</v>
      </c>
      <c r="O391" t="s">
        <v>640</v>
      </c>
    </row>
    <row r="392" spans="1:19" x14ac:dyDescent="0.2">
      <c r="A392" t="s">
        <v>960</v>
      </c>
      <c r="B392" t="s">
        <v>461</v>
      </c>
      <c r="C392" t="s">
        <v>987</v>
      </c>
      <c r="D392" t="s">
        <v>988</v>
      </c>
      <c r="E392" t="b">
        <f>COUNTIF(R:R,D392)&gt;0</f>
        <v>0</v>
      </c>
      <c r="F392" t="str">
        <f t="shared" si="6"/>
        <v>OK</v>
      </c>
      <c r="G392" t="s">
        <v>18</v>
      </c>
      <c r="H392" s="1">
        <v>0</v>
      </c>
      <c r="I392" t="s">
        <v>975</v>
      </c>
      <c r="K392" t="s">
        <v>236</v>
      </c>
      <c r="M392" t="s">
        <v>236</v>
      </c>
      <c r="O392" t="s">
        <v>236</v>
      </c>
    </row>
    <row r="393" spans="1:19" x14ac:dyDescent="0.2">
      <c r="A393" t="s">
        <v>960</v>
      </c>
      <c r="B393" t="s">
        <v>461</v>
      </c>
      <c r="C393" t="s">
        <v>989</v>
      </c>
      <c r="D393" t="s">
        <v>990</v>
      </c>
      <c r="E393" t="b">
        <f>COUNTIF(R:R,D393)&gt;0</f>
        <v>1</v>
      </c>
      <c r="F393" t="str">
        <f t="shared" si="6"/>
        <v>OK</v>
      </c>
      <c r="G393" t="s">
        <v>18</v>
      </c>
      <c r="H393" s="1">
        <v>0</v>
      </c>
      <c r="I393" t="s">
        <v>975</v>
      </c>
      <c r="K393" t="s">
        <v>236</v>
      </c>
      <c r="M393" t="s">
        <v>236</v>
      </c>
      <c r="O393" t="s">
        <v>236</v>
      </c>
    </row>
    <row r="394" spans="1:19" x14ac:dyDescent="0.2">
      <c r="A394" t="s">
        <v>991</v>
      </c>
      <c r="B394" t="s">
        <v>992</v>
      </c>
      <c r="C394" t="s">
        <v>993</v>
      </c>
      <c r="D394" t="s">
        <v>994</v>
      </c>
      <c r="E394" t="b">
        <f>COUNTIF(R:R,D394)&gt;0</f>
        <v>1</v>
      </c>
      <c r="F394" t="str">
        <f t="shared" si="6"/>
        <v>OK</v>
      </c>
      <c r="G394" t="s">
        <v>18</v>
      </c>
      <c r="H394" s="1">
        <v>0.19</v>
      </c>
      <c r="I394" t="s">
        <v>995</v>
      </c>
      <c r="J394" t="s">
        <v>266</v>
      </c>
      <c r="K394" t="s">
        <v>996</v>
      </c>
      <c r="M394" t="s">
        <v>270</v>
      </c>
      <c r="O394" t="s">
        <v>22</v>
      </c>
    </row>
    <row r="395" spans="1:19" x14ac:dyDescent="0.2">
      <c r="A395" t="s">
        <v>991</v>
      </c>
      <c r="B395" t="s">
        <v>992</v>
      </c>
      <c r="C395" t="s">
        <v>997</v>
      </c>
      <c r="D395" t="s">
        <v>994</v>
      </c>
      <c r="E395" t="b">
        <f>COUNTIF(R:R,D395)&gt;0</f>
        <v>1</v>
      </c>
      <c r="F395" t="str">
        <f t="shared" si="6"/>
        <v>OK</v>
      </c>
      <c r="G395" t="s">
        <v>18</v>
      </c>
      <c r="H395" s="1">
        <v>0</v>
      </c>
      <c r="I395" t="s">
        <v>998</v>
      </c>
      <c r="J395" t="s">
        <v>999</v>
      </c>
      <c r="K395" t="s">
        <v>996</v>
      </c>
      <c r="M395" t="s">
        <v>22</v>
      </c>
      <c r="O395" t="s">
        <v>22</v>
      </c>
    </row>
    <row r="396" spans="1:19" x14ac:dyDescent="0.2">
      <c r="A396" t="s">
        <v>991</v>
      </c>
      <c r="B396" t="s">
        <v>992</v>
      </c>
      <c r="C396" t="s">
        <v>1000</v>
      </c>
      <c r="D396" t="s">
        <v>994</v>
      </c>
      <c r="E396" t="b">
        <f>COUNTIF(R:R,D396)&gt;0</f>
        <v>1</v>
      </c>
      <c r="F396" t="str">
        <f t="shared" si="6"/>
        <v>OK</v>
      </c>
      <c r="G396" t="s">
        <v>18</v>
      </c>
      <c r="H396" s="1">
        <v>0</v>
      </c>
      <c r="I396" t="s">
        <v>998</v>
      </c>
      <c r="J396" t="s">
        <v>999</v>
      </c>
      <c r="K396" t="s">
        <v>996</v>
      </c>
      <c r="M396" t="s">
        <v>22</v>
      </c>
      <c r="O396" t="s">
        <v>22</v>
      </c>
    </row>
    <row r="397" spans="1:19" x14ac:dyDescent="0.2">
      <c r="A397" t="s">
        <v>991</v>
      </c>
      <c r="B397" t="s">
        <v>992</v>
      </c>
      <c r="C397" t="s">
        <v>1001</v>
      </c>
      <c r="D397" t="s">
        <v>994</v>
      </c>
      <c r="E397" t="b">
        <f>COUNTIF(R:R,D397)&gt;0</f>
        <v>1</v>
      </c>
      <c r="F397" t="str">
        <f t="shared" si="6"/>
        <v>OK</v>
      </c>
      <c r="G397" t="s">
        <v>18</v>
      </c>
      <c r="H397" s="1">
        <v>0</v>
      </c>
      <c r="I397" t="s">
        <v>138</v>
      </c>
      <c r="K397" t="s">
        <v>22</v>
      </c>
      <c r="M397" t="s">
        <v>22</v>
      </c>
      <c r="O397" t="s">
        <v>22</v>
      </c>
    </row>
    <row r="398" spans="1:19" x14ac:dyDescent="0.2">
      <c r="A398" t="s">
        <v>991</v>
      </c>
      <c r="B398" t="s">
        <v>992</v>
      </c>
      <c r="C398" t="s">
        <v>1002</v>
      </c>
      <c r="D398" t="s">
        <v>994</v>
      </c>
      <c r="E398" t="b">
        <f>COUNTIF(R:R,D398)&gt;0</f>
        <v>1</v>
      </c>
      <c r="F398" t="str">
        <f t="shared" si="6"/>
        <v>OK</v>
      </c>
      <c r="G398" t="s">
        <v>18</v>
      </c>
      <c r="H398" s="1">
        <v>0</v>
      </c>
      <c r="I398" t="s">
        <v>138</v>
      </c>
      <c r="K398" t="s">
        <v>22</v>
      </c>
      <c r="M398" t="s">
        <v>22</v>
      </c>
      <c r="O398" t="s">
        <v>22</v>
      </c>
    </row>
    <row r="399" spans="1:19" x14ac:dyDescent="0.2">
      <c r="A399" t="s">
        <v>991</v>
      </c>
      <c r="B399" t="s">
        <v>992</v>
      </c>
      <c r="C399" t="s">
        <v>1003</v>
      </c>
      <c r="D399" t="s">
        <v>994</v>
      </c>
      <c r="E399" t="b">
        <f>COUNTIF(R:R,D399)&gt;0</f>
        <v>1</v>
      </c>
      <c r="F399" t="str">
        <f t="shared" si="6"/>
        <v>OK</v>
      </c>
      <c r="G399" t="s">
        <v>18</v>
      </c>
      <c r="H399" s="1">
        <v>0</v>
      </c>
      <c r="I399" t="s">
        <v>138</v>
      </c>
      <c r="K399" t="s">
        <v>22</v>
      </c>
      <c r="M399" t="s">
        <v>22</v>
      </c>
      <c r="O399" t="s">
        <v>22</v>
      </c>
    </row>
    <row r="400" spans="1:19" x14ac:dyDescent="0.2">
      <c r="A400" t="s">
        <v>991</v>
      </c>
      <c r="B400" t="s">
        <v>992</v>
      </c>
      <c r="C400" t="s">
        <v>1004</v>
      </c>
      <c r="D400" t="s">
        <v>994</v>
      </c>
      <c r="E400" t="b">
        <f>COUNTIF(R:R,D400)&gt;0</f>
        <v>1</v>
      </c>
      <c r="F400" t="str">
        <f t="shared" si="6"/>
        <v>OK</v>
      </c>
      <c r="G400" t="s">
        <v>18</v>
      </c>
      <c r="H400" s="1">
        <v>0</v>
      </c>
      <c r="I400" t="s">
        <v>1005</v>
      </c>
      <c r="K400" t="s">
        <v>22</v>
      </c>
      <c r="M400" t="s">
        <v>22</v>
      </c>
      <c r="O400" t="s">
        <v>22</v>
      </c>
    </row>
    <row r="401" spans="1:15" x14ac:dyDescent="0.2">
      <c r="A401" t="s">
        <v>991</v>
      </c>
      <c r="B401" t="s">
        <v>992</v>
      </c>
      <c r="C401" t="s">
        <v>1006</v>
      </c>
      <c r="D401" t="s">
        <v>994</v>
      </c>
      <c r="E401" t="b">
        <f>COUNTIF(R:R,D401)&gt;0</f>
        <v>1</v>
      </c>
      <c r="F401" t="str">
        <f t="shared" si="6"/>
        <v>OK</v>
      </c>
      <c r="G401" t="s">
        <v>18</v>
      </c>
      <c r="H401" s="1">
        <v>0</v>
      </c>
      <c r="I401" t="s">
        <v>1005</v>
      </c>
      <c r="K401" t="s">
        <v>22</v>
      </c>
      <c r="M401" t="s">
        <v>22</v>
      </c>
      <c r="O401" t="s">
        <v>22</v>
      </c>
    </row>
    <row r="402" spans="1:15" x14ac:dyDescent="0.2">
      <c r="A402" t="s">
        <v>991</v>
      </c>
      <c r="B402" t="s">
        <v>992</v>
      </c>
      <c r="C402" t="s">
        <v>1007</v>
      </c>
      <c r="D402" t="s">
        <v>994</v>
      </c>
      <c r="E402" t="b">
        <f>COUNTIF(R:R,D402)&gt;0</f>
        <v>1</v>
      </c>
      <c r="F402" t="str">
        <f t="shared" si="6"/>
        <v>OK</v>
      </c>
      <c r="G402" t="s">
        <v>18</v>
      </c>
      <c r="H402" s="1">
        <v>0</v>
      </c>
      <c r="I402" t="s">
        <v>1005</v>
      </c>
      <c r="K402" t="s">
        <v>22</v>
      </c>
      <c r="M402" t="s">
        <v>22</v>
      </c>
      <c r="O402" t="s">
        <v>22</v>
      </c>
    </row>
    <row r="403" spans="1:15" x14ac:dyDescent="0.2">
      <c r="A403" t="s">
        <v>991</v>
      </c>
      <c r="B403" t="s">
        <v>992</v>
      </c>
      <c r="C403" t="s">
        <v>1008</v>
      </c>
      <c r="D403" t="s">
        <v>1009</v>
      </c>
      <c r="E403" t="b">
        <f>COUNTIF(R:R,D403)&gt;0</f>
        <v>1</v>
      </c>
      <c r="F403" t="str">
        <f t="shared" si="6"/>
        <v>OK</v>
      </c>
      <c r="G403" t="s">
        <v>18</v>
      </c>
      <c r="H403" s="1">
        <v>0</v>
      </c>
      <c r="I403" t="s">
        <v>1010</v>
      </c>
      <c r="K403" t="s">
        <v>22</v>
      </c>
      <c r="M403" t="s">
        <v>22</v>
      </c>
      <c r="O403" t="s">
        <v>22</v>
      </c>
    </row>
    <row r="404" spans="1:15" x14ac:dyDescent="0.2">
      <c r="A404" t="s">
        <v>991</v>
      </c>
      <c r="B404" t="s">
        <v>992</v>
      </c>
      <c r="C404" t="s">
        <v>1011</v>
      </c>
      <c r="D404" t="s">
        <v>1009</v>
      </c>
      <c r="E404" t="b">
        <f>COUNTIF(R:R,D404)&gt;0</f>
        <v>1</v>
      </c>
      <c r="F404" t="str">
        <f t="shared" si="6"/>
        <v>OK</v>
      </c>
      <c r="G404" t="s">
        <v>18</v>
      </c>
      <c r="H404" s="1">
        <v>0</v>
      </c>
      <c r="I404" t="s">
        <v>1010</v>
      </c>
      <c r="K404" t="s">
        <v>22</v>
      </c>
      <c r="M404" t="s">
        <v>22</v>
      </c>
      <c r="O404" t="s">
        <v>22</v>
      </c>
    </row>
    <row r="405" spans="1:15" x14ac:dyDescent="0.2">
      <c r="A405" t="s">
        <v>991</v>
      </c>
      <c r="B405" t="s">
        <v>992</v>
      </c>
      <c r="C405" t="s">
        <v>1012</v>
      </c>
      <c r="D405" t="s">
        <v>1009</v>
      </c>
      <c r="E405" t="b">
        <f>COUNTIF(R:R,D405)&gt;0</f>
        <v>1</v>
      </c>
      <c r="F405" t="str">
        <f t="shared" si="6"/>
        <v>OK</v>
      </c>
      <c r="G405" t="s">
        <v>18</v>
      </c>
      <c r="H405" s="1">
        <v>0</v>
      </c>
      <c r="I405" t="s">
        <v>1010</v>
      </c>
      <c r="K405" t="s">
        <v>22</v>
      </c>
      <c r="M405" t="s">
        <v>22</v>
      </c>
      <c r="O405" t="s">
        <v>22</v>
      </c>
    </row>
    <row r="406" spans="1:15" x14ac:dyDescent="0.2">
      <c r="A406" t="s">
        <v>991</v>
      </c>
      <c r="B406" t="s">
        <v>992</v>
      </c>
      <c r="C406" t="s">
        <v>1013</v>
      </c>
      <c r="D406" t="s">
        <v>1009</v>
      </c>
      <c r="E406" t="b">
        <f>COUNTIF(R:R,D406)&gt;0</f>
        <v>1</v>
      </c>
      <c r="F406" t="str">
        <f t="shared" si="6"/>
        <v>OK</v>
      </c>
      <c r="G406" t="s">
        <v>18</v>
      </c>
      <c r="H406" s="1">
        <v>0</v>
      </c>
      <c r="I406" t="s">
        <v>138</v>
      </c>
      <c r="K406" t="s">
        <v>22</v>
      </c>
      <c r="M406" t="s">
        <v>22</v>
      </c>
      <c r="O406" t="s">
        <v>22</v>
      </c>
    </row>
    <row r="407" spans="1:15" x14ac:dyDescent="0.2">
      <c r="A407" t="s">
        <v>991</v>
      </c>
      <c r="B407" t="s">
        <v>992</v>
      </c>
      <c r="C407" t="s">
        <v>1014</v>
      </c>
      <c r="D407" t="s">
        <v>1009</v>
      </c>
      <c r="E407" t="b">
        <f>COUNTIF(R:R,D407)&gt;0</f>
        <v>1</v>
      </c>
      <c r="F407" t="str">
        <f t="shared" si="6"/>
        <v>OK</v>
      </c>
      <c r="G407" t="s">
        <v>18</v>
      </c>
      <c r="H407" s="1">
        <v>0</v>
      </c>
      <c r="I407" t="s">
        <v>138</v>
      </c>
      <c r="K407" t="s">
        <v>22</v>
      </c>
      <c r="M407" t="s">
        <v>22</v>
      </c>
      <c r="O407" t="s">
        <v>22</v>
      </c>
    </row>
    <row r="408" spans="1:15" x14ac:dyDescent="0.2">
      <c r="A408" t="s">
        <v>991</v>
      </c>
      <c r="B408" t="s">
        <v>992</v>
      </c>
      <c r="C408" t="s">
        <v>1015</v>
      </c>
      <c r="D408" t="s">
        <v>1009</v>
      </c>
      <c r="E408" t="b">
        <f>COUNTIF(R:R,D408)&gt;0</f>
        <v>1</v>
      </c>
      <c r="F408" t="str">
        <f t="shared" si="6"/>
        <v>OK</v>
      </c>
      <c r="G408" t="s">
        <v>18</v>
      </c>
      <c r="H408" s="1">
        <v>0</v>
      </c>
      <c r="I408" t="s">
        <v>140</v>
      </c>
      <c r="K408" t="s">
        <v>22</v>
      </c>
      <c r="M408" t="s">
        <v>22</v>
      </c>
      <c r="O408" t="s">
        <v>22</v>
      </c>
    </row>
    <row r="409" spans="1:15" x14ac:dyDescent="0.2">
      <c r="A409" t="s">
        <v>991</v>
      </c>
      <c r="B409" t="s">
        <v>992</v>
      </c>
      <c r="C409" t="s">
        <v>1016</v>
      </c>
      <c r="D409" t="s">
        <v>1009</v>
      </c>
      <c r="E409" t="b">
        <f>COUNTIF(R:R,D409)&gt;0</f>
        <v>1</v>
      </c>
      <c r="F409" t="str">
        <f t="shared" si="6"/>
        <v>OK</v>
      </c>
      <c r="G409" t="s">
        <v>18</v>
      </c>
      <c r="H409" s="1">
        <v>0</v>
      </c>
      <c r="I409" t="s">
        <v>1017</v>
      </c>
      <c r="K409" t="s">
        <v>22</v>
      </c>
      <c r="M409" t="s">
        <v>22</v>
      </c>
      <c r="O409" t="s">
        <v>22</v>
      </c>
    </row>
    <row r="410" spans="1:15" x14ac:dyDescent="0.2">
      <c r="A410" t="s">
        <v>991</v>
      </c>
      <c r="B410" t="s">
        <v>992</v>
      </c>
      <c r="C410" t="s">
        <v>1018</v>
      </c>
      <c r="D410" t="s">
        <v>1019</v>
      </c>
      <c r="E410" t="b">
        <f>COUNTIF(R:R,D410)&gt;0</f>
        <v>1</v>
      </c>
      <c r="F410" t="str">
        <f t="shared" si="6"/>
        <v>OK</v>
      </c>
      <c r="G410" t="s">
        <v>18</v>
      </c>
      <c r="H410" s="1">
        <v>0</v>
      </c>
      <c r="I410" t="s">
        <v>138</v>
      </c>
      <c r="K410" t="s">
        <v>22</v>
      </c>
      <c r="M410" t="s">
        <v>22</v>
      </c>
      <c r="O410" t="s">
        <v>22</v>
      </c>
    </row>
    <row r="411" spans="1:15" x14ac:dyDescent="0.2">
      <c r="A411" t="s">
        <v>991</v>
      </c>
      <c r="B411" t="s">
        <v>992</v>
      </c>
      <c r="C411" t="s">
        <v>1020</v>
      </c>
      <c r="D411" t="s">
        <v>1681</v>
      </c>
      <c r="E411" t="b">
        <f>COUNTIF(R:R,D411)&gt;0</f>
        <v>1</v>
      </c>
      <c r="F411" t="str">
        <f t="shared" si="6"/>
        <v>OK</v>
      </c>
      <c r="G411" t="s">
        <v>18</v>
      </c>
      <c r="H411" s="1">
        <v>0</v>
      </c>
      <c r="I411" t="s">
        <v>1021</v>
      </c>
      <c r="K411" t="s">
        <v>22</v>
      </c>
      <c r="M411" t="s">
        <v>22</v>
      </c>
      <c r="O411" t="s">
        <v>22</v>
      </c>
    </row>
    <row r="412" spans="1:15" x14ac:dyDescent="0.2">
      <c r="A412" t="s">
        <v>991</v>
      </c>
      <c r="B412" t="s">
        <v>992</v>
      </c>
      <c r="C412" t="s">
        <v>1022</v>
      </c>
      <c r="D412" t="s">
        <v>1023</v>
      </c>
      <c r="E412" t="b">
        <f>COUNTIF(R:R,D412)&gt;0</f>
        <v>1</v>
      </c>
      <c r="F412" t="str">
        <f t="shared" si="6"/>
        <v>OK</v>
      </c>
      <c r="G412" t="s">
        <v>18</v>
      </c>
      <c r="H412" s="1">
        <v>0</v>
      </c>
      <c r="I412" t="s">
        <v>1021</v>
      </c>
      <c r="K412" t="s">
        <v>22</v>
      </c>
      <c r="M412" t="s">
        <v>22</v>
      </c>
      <c r="O412" t="s">
        <v>22</v>
      </c>
    </row>
    <row r="413" spans="1:15" x14ac:dyDescent="0.2">
      <c r="A413" t="s">
        <v>991</v>
      </c>
      <c r="B413" t="s">
        <v>992</v>
      </c>
      <c r="C413" t="s">
        <v>1024</v>
      </c>
      <c r="D413" t="s">
        <v>1023</v>
      </c>
      <c r="E413" t="b">
        <f>COUNTIF(R:R,D413)&gt;0</f>
        <v>1</v>
      </c>
      <c r="F413" t="str">
        <f t="shared" si="6"/>
        <v>OK</v>
      </c>
      <c r="G413" t="s">
        <v>18</v>
      </c>
      <c r="H413" s="1">
        <v>0</v>
      </c>
      <c r="I413" t="s">
        <v>1021</v>
      </c>
      <c r="K413" t="s">
        <v>22</v>
      </c>
      <c r="M413" t="s">
        <v>22</v>
      </c>
      <c r="O413" t="s">
        <v>22</v>
      </c>
    </row>
    <row r="414" spans="1:15" x14ac:dyDescent="0.2">
      <c r="A414" t="s">
        <v>991</v>
      </c>
      <c r="B414" t="s">
        <v>992</v>
      </c>
      <c r="C414" t="s">
        <v>1025</v>
      </c>
      <c r="D414" t="s">
        <v>1023</v>
      </c>
      <c r="E414" t="b">
        <f>COUNTIF(R:R,D414)&gt;0</f>
        <v>1</v>
      </c>
      <c r="F414" t="str">
        <f t="shared" si="6"/>
        <v>OK</v>
      </c>
      <c r="G414" t="s">
        <v>18</v>
      </c>
      <c r="H414" s="1">
        <v>0</v>
      </c>
      <c r="I414" t="s">
        <v>140</v>
      </c>
      <c r="K414" t="s">
        <v>22</v>
      </c>
      <c r="M414" t="s">
        <v>22</v>
      </c>
      <c r="O414" t="s">
        <v>22</v>
      </c>
    </row>
    <row r="415" spans="1:15" x14ac:dyDescent="0.2">
      <c r="A415" t="s">
        <v>991</v>
      </c>
      <c r="B415" t="s">
        <v>992</v>
      </c>
      <c r="C415" t="s">
        <v>1026</v>
      </c>
      <c r="D415" t="s">
        <v>1023</v>
      </c>
      <c r="E415" t="b">
        <f>COUNTIF(R:R,D415)&gt;0</f>
        <v>1</v>
      </c>
      <c r="F415" t="str">
        <f t="shared" si="6"/>
        <v>OK</v>
      </c>
      <c r="G415" t="s">
        <v>18</v>
      </c>
      <c r="H415" s="1">
        <v>0</v>
      </c>
      <c r="I415" t="s">
        <v>1027</v>
      </c>
      <c r="K415" t="s">
        <v>22</v>
      </c>
      <c r="M415" t="s">
        <v>22</v>
      </c>
      <c r="O415" t="s">
        <v>22</v>
      </c>
    </row>
    <row r="416" spans="1:15" x14ac:dyDescent="0.2">
      <c r="A416" t="s">
        <v>991</v>
      </c>
      <c r="B416" t="s">
        <v>992</v>
      </c>
      <c r="C416" t="s">
        <v>1028</v>
      </c>
      <c r="D416" t="s">
        <v>1023</v>
      </c>
      <c r="E416" t="b">
        <f>COUNTIF(R:R,D416)&gt;0</f>
        <v>1</v>
      </c>
      <c r="F416" t="str">
        <f t="shared" si="6"/>
        <v>OK</v>
      </c>
      <c r="G416" t="s">
        <v>18</v>
      </c>
      <c r="H416" s="1">
        <v>0</v>
      </c>
      <c r="I416" t="s">
        <v>138</v>
      </c>
      <c r="K416" t="s">
        <v>22</v>
      </c>
      <c r="M416" t="s">
        <v>22</v>
      </c>
      <c r="O416" t="s">
        <v>22</v>
      </c>
    </row>
    <row r="417" spans="1:15" x14ac:dyDescent="0.2">
      <c r="A417" t="s">
        <v>991</v>
      </c>
      <c r="B417" t="s">
        <v>992</v>
      </c>
      <c r="C417" t="s">
        <v>1029</v>
      </c>
      <c r="D417" t="s">
        <v>1023</v>
      </c>
      <c r="E417" t="b">
        <f>COUNTIF(R:R,D417)&gt;0</f>
        <v>1</v>
      </c>
      <c r="F417" t="str">
        <f t="shared" si="6"/>
        <v>OK</v>
      </c>
      <c r="G417" t="s">
        <v>18</v>
      </c>
      <c r="H417" s="1">
        <v>0</v>
      </c>
      <c r="I417" t="s">
        <v>1030</v>
      </c>
      <c r="K417" t="s">
        <v>22</v>
      </c>
      <c r="M417" t="s">
        <v>22</v>
      </c>
      <c r="O417" t="s">
        <v>22</v>
      </c>
    </row>
    <row r="418" spans="1:15" x14ac:dyDescent="0.2">
      <c r="A418" t="s">
        <v>991</v>
      </c>
      <c r="B418" t="s">
        <v>992</v>
      </c>
      <c r="C418" t="s">
        <v>1031</v>
      </c>
      <c r="D418" t="s">
        <v>1023</v>
      </c>
      <c r="E418" t="b">
        <f>COUNTIF(R:R,D418)&gt;0</f>
        <v>1</v>
      </c>
      <c r="F418" t="str">
        <f t="shared" si="6"/>
        <v>OK</v>
      </c>
      <c r="G418" t="s">
        <v>18</v>
      </c>
      <c r="H418" s="1">
        <v>0</v>
      </c>
      <c r="I418" t="s">
        <v>1030</v>
      </c>
      <c r="K418" t="s">
        <v>22</v>
      </c>
      <c r="M418" t="s">
        <v>22</v>
      </c>
      <c r="O418" t="s">
        <v>22</v>
      </c>
    </row>
    <row r="419" spans="1:15" x14ac:dyDescent="0.2">
      <c r="A419" t="s">
        <v>991</v>
      </c>
      <c r="B419" t="s">
        <v>992</v>
      </c>
      <c r="C419" t="s">
        <v>1032</v>
      </c>
      <c r="D419" t="s">
        <v>1023</v>
      </c>
      <c r="E419" t="b">
        <f>COUNTIF(R:R,D419)&gt;0</f>
        <v>1</v>
      </c>
      <c r="F419" t="str">
        <f t="shared" si="6"/>
        <v>OK</v>
      </c>
      <c r="G419" t="s">
        <v>18</v>
      </c>
      <c r="H419" s="1">
        <v>0</v>
      </c>
      <c r="I419" t="s">
        <v>1010</v>
      </c>
      <c r="K419" t="s">
        <v>22</v>
      </c>
      <c r="M419" t="s">
        <v>22</v>
      </c>
      <c r="O419" t="s">
        <v>22</v>
      </c>
    </row>
    <row r="420" spans="1:15" x14ac:dyDescent="0.2">
      <c r="A420" t="s">
        <v>991</v>
      </c>
      <c r="B420" t="s">
        <v>992</v>
      </c>
      <c r="C420" t="s">
        <v>1033</v>
      </c>
      <c r="D420" t="s">
        <v>1023</v>
      </c>
      <c r="E420" t="b">
        <f>COUNTIF(R:R,D420)&gt;0</f>
        <v>1</v>
      </c>
      <c r="F420" t="str">
        <f t="shared" si="6"/>
        <v>OK</v>
      </c>
      <c r="G420" t="s">
        <v>18</v>
      </c>
      <c r="H420" s="1">
        <v>0</v>
      </c>
      <c r="I420" t="s">
        <v>1005</v>
      </c>
      <c r="K420" t="s">
        <v>22</v>
      </c>
      <c r="M420" t="s">
        <v>22</v>
      </c>
      <c r="O420" t="s">
        <v>22</v>
      </c>
    </row>
    <row r="421" spans="1:15" x14ac:dyDescent="0.2">
      <c r="A421" t="s">
        <v>991</v>
      </c>
      <c r="B421" t="s">
        <v>992</v>
      </c>
      <c r="C421" t="s">
        <v>1034</v>
      </c>
      <c r="D421" t="s">
        <v>1035</v>
      </c>
      <c r="E421" t="b">
        <f>COUNTIF(R:R,D421)&gt;0</f>
        <v>1</v>
      </c>
      <c r="F421" t="str">
        <f t="shared" si="6"/>
        <v>OK</v>
      </c>
      <c r="G421" t="s">
        <v>18</v>
      </c>
      <c r="H421" s="1">
        <v>0</v>
      </c>
      <c r="I421" t="s">
        <v>140</v>
      </c>
      <c r="K421" t="s">
        <v>22</v>
      </c>
      <c r="M421" t="s">
        <v>22</v>
      </c>
      <c r="O421" t="s">
        <v>22</v>
      </c>
    </row>
    <row r="422" spans="1:15" x14ac:dyDescent="0.2">
      <c r="A422" t="s">
        <v>991</v>
      </c>
      <c r="B422" t="s">
        <v>992</v>
      </c>
      <c r="C422" t="s">
        <v>1036</v>
      </c>
      <c r="D422" t="s">
        <v>1035</v>
      </c>
      <c r="E422" t="b">
        <f>COUNTIF(R:R,D422)&gt;0</f>
        <v>1</v>
      </c>
      <c r="F422" t="str">
        <f t="shared" si="6"/>
        <v>OK</v>
      </c>
      <c r="G422" t="s">
        <v>18</v>
      </c>
      <c r="H422" s="1">
        <v>0</v>
      </c>
      <c r="I422" t="s">
        <v>140</v>
      </c>
      <c r="K422" t="s">
        <v>22</v>
      </c>
      <c r="M422" t="s">
        <v>22</v>
      </c>
      <c r="O422" t="s">
        <v>22</v>
      </c>
    </row>
    <row r="423" spans="1:15" x14ac:dyDescent="0.2">
      <c r="A423" t="s">
        <v>991</v>
      </c>
      <c r="B423" t="s">
        <v>992</v>
      </c>
      <c r="C423" t="s">
        <v>1037</v>
      </c>
      <c r="D423" t="s">
        <v>1035</v>
      </c>
      <c r="E423" t="b">
        <f>COUNTIF(R:R,D423)&gt;0</f>
        <v>1</v>
      </c>
      <c r="F423" t="str">
        <f t="shared" si="6"/>
        <v>OK</v>
      </c>
      <c r="G423" t="s">
        <v>18</v>
      </c>
      <c r="H423" s="1">
        <v>0</v>
      </c>
      <c r="I423" t="s">
        <v>140</v>
      </c>
      <c r="K423" t="s">
        <v>22</v>
      </c>
      <c r="M423" t="s">
        <v>22</v>
      </c>
      <c r="O423" t="s">
        <v>22</v>
      </c>
    </row>
    <row r="424" spans="1:15" x14ac:dyDescent="0.2">
      <c r="A424" t="s">
        <v>991</v>
      </c>
      <c r="B424" t="s">
        <v>992</v>
      </c>
      <c r="C424" t="s">
        <v>1038</v>
      </c>
      <c r="D424" t="s">
        <v>1039</v>
      </c>
      <c r="E424" t="b">
        <f>COUNTIF(R:R,D424)&gt;0</f>
        <v>0</v>
      </c>
      <c r="F424" t="str">
        <f t="shared" si="6"/>
        <v>OK</v>
      </c>
      <c r="G424" t="s">
        <v>18</v>
      </c>
      <c r="H424" s="1">
        <v>0</v>
      </c>
      <c r="I424" t="s">
        <v>1040</v>
      </c>
      <c r="K424" t="s">
        <v>22</v>
      </c>
      <c r="M424" t="s">
        <v>22</v>
      </c>
      <c r="O424" t="s">
        <v>22</v>
      </c>
    </row>
    <row r="425" spans="1:15" x14ac:dyDescent="0.2">
      <c r="A425" t="s">
        <v>991</v>
      </c>
      <c r="B425" t="s">
        <v>992</v>
      </c>
      <c r="C425" t="s">
        <v>1041</v>
      </c>
      <c r="D425" t="s">
        <v>1039</v>
      </c>
      <c r="E425" t="b">
        <f>COUNTIF(R:R,D425)&gt;0</f>
        <v>0</v>
      </c>
      <c r="F425" t="str">
        <f t="shared" si="6"/>
        <v>OK</v>
      </c>
      <c r="G425" t="s">
        <v>18</v>
      </c>
      <c r="H425" s="1">
        <v>0</v>
      </c>
      <c r="I425" t="s">
        <v>1040</v>
      </c>
      <c r="K425" t="s">
        <v>22</v>
      </c>
      <c r="M425" t="s">
        <v>22</v>
      </c>
      <c r="O425" t="s">
        <v>22</v>
      </c>
    </row>
    <row r="426" spans="1:15" x14ac:dyDescent="0.2">
      <c r="A426" t="s">
        <v>991</v>
      </c>
      <c r="B426" t="s">
        <v>992</v>
      </c>
      <c r="C426" t="s">
        <v>1042</v>
      </c>
      <c r="D426" t="s">
        <v>1043</v>
      </c>
      <c r="E426" t="b">
        <f>COUNTIF(R:R,D426)&gt;0</f>
        <v>1</v>
      </c>
      <c r="F426" t="str">
        <f t="shared" si="6"/>
        <v>OK</v>
      </c>
      <c r="G426" t="s">
        <v>18</v>
      </c>
      <c r="H426" s="1">
        <v>0</v>
      </c>
      <c r="I426" t="s">
        <v>120</v>
      </c>
      <c r="J426" t="s">
        <v>67</v>
      </c>
      <c r="K426" t="s">
        <v>35</v>
      </c>
      <c r="M426" t="s">
        <v>22</v>
      </c>
      <c r="O426" t="s">
        <v>22</v>
      </c>
    </row>
    <row r="427" spans="1:15" x14ac:dyDescent="0.2">
      <c r="A427" t="s">
        <v>991</v>
      </c>
      <c r="B427" t="s">
        <v>992</v>
      </c>
      <c r="C427" t="s">
        <v>1044</v>
      </c>
      <c r="D427" t="s">
        <v>1043</v>
      </c>
      <c r="E427" t="b">
        <f>COUNTIF(R:R,D427)&gt;0</f>
        <v>1</v>
      </c>
      <c r="F427" t="str">
        <f t="shared" si="6"/>
        <v>OK</v>
      </c>
      <c r="G427" t="s">
        <v>18</v>
      </c>
      <c r="H427" s="1">
        <v>0</v>
      </c>
      <c r="I427" t="s">
        <v>120</v>
      </c>
      <c r="J427" t="s">
        <v>67</v>
      </c>
      <c r="K427" t="s">
        <v>35</v>
      </c>
      <c r="M427" t="s">
        <v>22</v>
      </c>
      <c r="O427" t="s">
        <v>22</v>
      </c>
    </row>
    <row r="428" spans="1:15" x14ac:dyDescent="0.2">
      <c r="A428" t="s">
        <v>991</v>
      </c>
      <c r="B428" t="s">
        <v>992</v>
      </c>
      <c r="C428" t="s">
        <v>1045</v>
      </c>
      <c r="D428" t="s">
        <v>1043</v>
      </c>
      <c r="E428" t="b">
        <f>COUNTIF(R:R,D428)&gt;0</f>
        <v>1</v>
      </c>
      <c r="F428" t="str">
        <f t="shared" si="6"/>
        <v>OK</v>
      </c>
      <c r="G428" t="s">
        <v>18</v>
      </c>
      <c r="H428" s="1">
        <v>0</v>
      </c>
      <c r="I428" t="s">
        <v>120</v>
      </c>
      <c r="J428" t="s">
        <v>67</v>
      </c>
      <c r="K428" t="s">
        <v>35</v>
      </c>
      <c r="M428" t="s">
        <v>22</v>
      </c>
      <c r="O428" t="s">
        <v>22</v>
      </c>
    </row>
    <row r="429" spans="1:15" x14ac:dyDescent="0.2">
      <c r="A429" t="s">
        <v>991</v>
      </c>
      <c r="B429" t="s">
        <v>1046</v>
      </c>
      <c r="C429" t="s">
        <v>1047</v>
      </c>
      <c r="D429" t="s">
        <v>1048</v>
      </c>
      <c r="E429" t="b">
        <f>COUNTIF(R:R,D429)&gt;0</f>
        <v>0</v>
      </c>
      <c r="F429" t="str">
        <f t="shared" si="6"/>
        <v>OK</v>
      </c>
      <c r="G429" t="s">
        <v>18</v>
      </c>
    </row>
    <row r="430" spans="1:15" x14ac:dyDescent="0.2">
      <c r="A430" t="s">
        <v>991</v>
      </c>
      <c r="B430" t="s">
        <v>1046</v>
      </c>
      <c r="C430" t="s">
        <v>1049</v>
      </c>
      <c r="D430" t="s">
        <v>1048</v>
      </c>
      <c r="E430" t="b">
        <f>COUNTIF(R:R,D430)&gt;0</f>
        <v>0</v>
      </c>
      <c r="F430" t="str">
        <f t="shared" si="6"/>
        <v>OK</v>
      </c>
      <c r="G430" t="s">
        <v>18</v>
      </c>
    </row>
    <row r="431" spans="1:15" x14ac:dyDescent="0.2">
      <c r="A431" t="s">
        <v>991</v>
      </c>
      <c r="B431" t="s">
        <v>992</v>
      </c>
      <c r="C431" t="s">
        <v>1050</v>
      </c>
      <c r="D431" t="s">
        <v>1051</v>
      </c>
      <c r="E431" t="b">
        <f>COUNTIF(R:R,D431)&gt;0</f>
        <v>1</v>
      </c>
      <c r="F431" t="str">
        <f t="shared" si="6"/>
        <v>OK</v>
      </c>
      <c r="G431" t="s">
        <v>30</v>
      </c>
      <c r="H431" s="1">
        <v>0</v>
      </c>
      <c r="I431" t="s">
        <v>1052</v>
      </c>
      <c r="K431" t="s">
        <v>22</v>
      </c>
      <c r="M431" t="s">
        <v>22</v>
      </c>
      <c r="O431" t="s">
        <v>22</v>
      </c>
    </row>
    <row r="432" spans="1:15" x14ac:dyDescent="0.2">
      <c r="A432" t="s">
        <v>991</v>
      </c>
      <c r="B432" t="s">
        <v>992</v>
      </c>
      <c r="C432" t="s">
        <v>1053</v>
      </c>
      <c r="D432" t="s">
        <v>1051</v>
      </c>
      <c r="E432" t="b">
        <f>COUNTIF(R:R,D432)&gt;0</f>
        <v>1</v>
      </c>
      <c r="F432" t="str">
        <f t="shared" si="6"/>
        <v>OK</v>
      </c>
      <c r="G432" t="s">
        <v>30</v>
      </c>
      <c r="H432" s="1">
        <v>0</v>
      </c>
      <c r="I432" t="s">
        <v>1052</v>
      </c>
      <c r="K432" t="s">
        <v>22</v>
      </c>
      <c r="M432" t="s">
        <v>22</v>
      </c>
      <c r="O432" t="s">
        <v>22</v>
      </c>
    </row>
    <row r="433" spans="1:15" x14ac:dyDescent="0.2">
      <c r="A433" t="s">
        <v>991</v>
      </c>
      <c r="B433" t="s">
        <v>992</v>
      </c>
      <c r="C433" t="s">
        <v>1054</v>
      </c>
      <c r="D433" t="s">
        <v>1055</v>
      </c>
      <c r="E433" t="b">
        <f>COUNTIF(R:R,D433)&gt;0</f>
        <v>1</v>
      </c>
      <c r="F433" t="str">
        <f t="shared" si="6"/>
        <v>OK</v>
      </c>
      <c r="G433" t="s">
        <v>30</v>
      </c>
      <c r="H433" s="1">
        <v>0</v>
      </c>
      <c r="I433" t="s">
        <v>1005</v>
      </c>
      <c r="K433" t="s">
        <v>1056</v>
      </c>
      <c r="M433" t="s">
        <v>22</v>
      </c>
      <c r="O433" t="s">
        <v>22</v>
      </c>
    </row>
    <row r="434" spans="1:15" x14ac:dyDescent="0.2">
      <c r="A434" t="s">
        <v>991</v>
      </c>
      <c r="B434" t="s">
        <v>992</v>
      </c>
      <c r="C434" t="s">
        <v>1057</v>
      </c>
      <c r="D434" t="s">
        <v>1055</v>
      </c>
      <c r="E434" t="b">
        <f>COUNTIF(R:R,D434)&gt;0</f>
        <v>1</v>
      </c>
      <c r="F434" t="str">
        <f t="shared" si="6"/>
        <v>OK</v>
      </c>
      <c r="G434" t="s">
        <v>30</v>
      </c>
      <c r="H434" s="1">
        <v>0.17</v>
      </c>
      <c r="I434" t="s">
        <v>257</v>
      </c>
      <c r="K434" t="s">
        <v>22</v>
      </c>
      <c r="M434" t="s">
        <v>270</v>
      </c>
      <c r="O434" t="s">
        <v>22</v>
      </c>
    </row>
    <row r="435" spans="1:15" x14ac:dyDescent="0.2">
      <c r="A435" t="s">
        <v>991</v>
      </c>
      <c r="B435" t="s">
        <v>992</v>
      </c>
      <c r="C435" t="s">
        <v>1058</v>
      </c>
      <c r="D435" t="s">
        <v>1055</v>
      </c>
      <c r="E435" t="b">
        <f>COUNTIF(R:R,D435)&gt;0</f>
        <v>1</v>
      </c>
      <c r="F435" t="str">
        <f t="shared" si="6"/>
        <v>OK</v>
      </c>
      <c r="G435" t="s">
        <v>30</v>
      </c>
      <c r="H435" s="1">
        <v>0.19</v>
      </c>
      <c r="I435" t="s">
        <v>257</v>
      </c>
      <c r="K435" t="s">
        <v>22</v>
      </c>
      <c r="M435" t="s">
        <v>270</v>
      </c>
      <c r="O435" t="s">
        <v>22</v>
      </c>
    </row>
    <row r="436" spans="1:15" x14ac:dyDescent="0.2">
      <c r="A436" t="s">
        <v>991</v>
      </c>
      <c r="B436" t="s">
        <v>992</v>
      </c>
      <c r="C436" t="s">
        <v>1059</v>
      </c>
      <c r="D436" t="s">
        <v>1055</v>
      </c>
      <c r="E436" t="b">
        <f>COUNTIF(R:R,D436)&gt;0</f>
        <v>1</v>
      </c>
      <c r="F436" t="str">
        <f t="shared" si="6"/>
        <v>OK</v>
      </c>
      <c r="G436" t="s">
        <v>30</v>
      </c>
      <c r="H436" s="1">
        <v>0</v>
      </c>
      <c r="I436" t="s">
        <v>1060</v>
      </c>
      <c r="K436" t="s">
        <v>22</v>
      </c>
      <c r="M436" t="s">
        <v>22</v>
      </c>
      <c r="O436" t="s">
        <v>22</v>
      </c>
    </row>
    <row r="437" spans="1:15" x14ac:dyDescent="0.2">
      <c r="A437" t="s">
        <v>991</v>
      </c>
      <c r="B437" t="s">
        <v>992</v>
      </c>
      <c r="C437" t="s">
        <v>1061</v>
      </c>
      <c r="D437" t="s">
        <v>1055</v>
      </c>
      <c r="E437" t="b">
        <f>COUNTIF(R:R,D437)&gt;0</f>
        <v>1</v>
      </c>
      <c r="F437" t="str">
        <f t="shared" si="6"/>
        <v>OK</v>
      </c>
      <c r="G437" t="s">
        <v>30</v>
      </c>
      <c r="H437" s="1">
        <v>0</v>
      </c>
      <c r="I437" t="s">
        <v>1060</v>
      </c>
      <c r="K437" t="s">
        <v>22</v>
      </c>
      <c r="M437" t="s">
        <v>22</v>
      </c>
      <c r="O437" t="s">
        <v>22</v>
      </c>
    </row>
    <row r="438" spans="1:15" x14ac:dyDescent="0.2">
      <c r="A438" t="s">
        <v>991</v>
      </c>
      <c r="B438" t="s">
        <v>992</v>
      </c>
      <c r="C438" t="s">
        <v>1062</v>
      </c>
      <c r="D438" t="s">
        <v>1055</v>
      </c>
      <c r="E438" t="b">
        <f>COUNTIF(R:R,D438)&gt;0</f>
        <v>1</v>
      </c>
      <c r="F438" t="str">
        <f t="shared" si="6"/>
        <v>OK</v>
      </c>
      <c r="G438" t="s">
        <v>18</v>
      </c>
      <c r="H438" s="1">
        <v>0</v>
      </c>
      <c r="I438" t="s">
        <v>1010</v>
      </c>
      <c r="K438" t="s">
        <v>22</v>
      </c>
      <c r="M438" t="s">
        <v>22</v>
      </c>
      <c r="O438" t="s">
        <v>22</v>
      </c>
    </row>
    <row r="439" spans="1:15" x14ac:dyDescent="0.2">
      <c r="A439" t="s">
        <v>991</v>
      </c>
      <c r="B439" t="s">
        <v>992</v>
      </c>
      <c r="C439" t="s">
        <v>1063</v>
      </c>
      <c r="D439" t="s">
        <v>1055</v>
      </c>
      <c r="E439" t="b">
        <f>COUNTIF(R:R,D439)&gt;0</f>
        <v>1</v>
      </c>
      <c r="F439" t="str">
        <f t="shared" si="6"/>
        <v>OK</v>
      </c>
      <c r="G439" t="s">
        <v>18</v>
      </c>
      <c r="H439" s="1">
        <v>0</v>
      </c>
      <c r="I439" t="s">
        <v>1010</v>
      </c>
      <c r="K439" t="s">
        <v>22</v>
      </c>
      <c r="M439" t="s">
        <v>22</v>
      </c>
      <c r="O439" t="s">
        <v>22</v>
      </c>
    </row>
    <row r="440" spans="1:15" x14ac:dyDescent="0.2">
      <c r="A440" t="s">
        <v>991</v>
      </c>
      <c r="B440" t="s">
        <v>992</v>
      </c>
      <c r="C440" t="s">
        <v>1064</v>
      </c>
      <c r="D440" t="s">
        <v>1055</v>
      </c>
      <c r="E440" t="b">
        <f>COUNTIF(R:R,D440)&gt;0</f>
        <v>1</v>
      </c>
      <c r="F440" t="str">
        <f t="shared" si="6"/>
        <v>OK</v>
      </c>
      <c r="G440" t="s">
        <v>18</v>
      </c>
      <c r="H440" s="1">
        <v>0</v>
      </c>
      <c r="I440" t="s">
        <v>1010</v>
      </c>
      <c r="K440" t="s">
        <v>22</v>
      </c>
      <c r="M440" t="s">
        <v>22</v>
      </c>
      <c r="O440" t="s">
        <v>22</v>
      </c>
    </row>
    <row r="441" spans="1:15" x14ac:dyDescent="0.2">
      <c r="A441" t="s">
        <v>991</v>
      </c>
      <c r="B441" t="s">
        <v>992</v>
      </c>
      <c r="C441" t="s">
        <v>1065</v>
      </c>
      <c r="D441" t="s">
        <v>1055</v>
      </c>
      <c r="E441" t="b">
        <f>COUNTIF(R:R,D441)&gt;0</f>
        <v>1</v>
      </c>
      <c r="F441" t="str">
        <f t="shared" si="6"/>
        <v>OK</v>
      </c>
      <c r="G441" t="s">
        <v>18</v>
      </c>
      <c r="H441" s="1">
        <v>0</v>
      </c>
      <c r="I441" t="s">
        <v>1060</v>
      </c>
      <c r="K441" t="s">
        <v>22</v>
      </c>
      <c r="M441" t="s">
        <v>22</v>
      </c>
      <c r="O441" t="s">
        <v>22</v>
      </c>
    </row>
    <row r="442" spans="1:15" x14ac:dyDescent="0.2">
      <c r="A442" t="s">
        <v>991</v>
      </c>
      <c r="B442" t="s">
        <v>992</v>
      </c>
      <c r="C442" t="s">
        <v>1059</v>
      </c>
      <c r="D442" t="s">
        <v>1055</v>
      </c>
      <c r="E442" t="b">
        <f>COUNTIF(R:R,D442)&gt;0</f>
        <v>1</v>
      </c>
      <c r="F442" t="str">
        <f t="shared" si="6"/>
        <v>OK</v>
      </c>
      <c r="G442" t="s">
        <v>18</v>
      </c>
      <c r="H442" s="1">
        <v>0</v>
      </c>
      <c r="I442" t="s">
        <v>1005</v>
      </c>
      <c r="K442" t="s">
        <v>1056</v>
      </c>
      <c r="M442" t="s">
        <v>22</v>
      </c>
      <c r="O442" t="s">
        <v>22</v>
      </c>
    </row>
    <row r="443" spans="1:15" x14ac:dyDescent="0.2">
      <c r="A443" t="s">
        <v>991</v>
      </c>
      <c r="B443" t="s">
        <v>992</v>
      </c>
      <c r="C443" t="s">
        <v>1066</v>
      </c>
      <c r="D443" t="s">
        <v>1055</v>
      </c>
      <c r="E443" t="b">
        <f>COUNTIF(R:R,D443)&gt;0</f>
        <v>1</v>
      </c>
      <c r="F443" t="str">
        <f t="shared" si="6"/>
        <v>OK</v>
      </c>
      <c r="G443" t="s">
        <v>18</v>
      </c>
      <c r="H443" s="1">
        <v>0</v>
      </c>
      <c r="I443" t="s">
        <v>1010</v>
      </c>
      <c r="K443" t="s">
        <v>22</v>
      </c>
      <c r="M443" t="s">
        <v>22</v>
      </c>
      <c r="O443" t="s">
        <v>22</v>
      </c>
    </row>
    <row r="444" spans="1:15" x14ac:dyDescent="0.2">
      <c r="A444" t="s">
        <v>991</v>
      </c>
      <c r="B444" t="s">
        <v>992</v>
      </c>
      <c r="C444" t="s">
        <v>1067</v>
      </c>
      <c r="D444" t="s">
        <v>1068</v>
      </c>
      <c r="E444" t="b">
        <f>COUNTIF(R:R,D444)&gt;0</f>
        <v>1</v>
      </c>
      <c r="F444" t="str">
        <f t="shared" si="6"/>
        <v>OK</v>
      </c>
      <c r="G444" t="s">
        <v>30</v>
      </c>
      <c r="H444" s="1">
        <v>0.69</v>
      </c>
      <c r="I444" t="s">
        <v>285</v>
      </c>
      <c r="K444" t="s">
        <v>270</v>
      </c>
      <c r="M444" t="s">
        <v>270</v>
      </c>
      <c r="O444" t="s">
        <v>22</v>
      </c>
    </row>
    <row r="445" spans="1:15" x14ac:dyDescent="0.2">
      <c r="A445" t="s">
        <v>991</v>
      </c>
      <c r="B445" t="s">
        <v>992</v>
      </c>
      <c r="C445" t="s">
        <v>1069</v>
      </c>
      <c r="D445" t="s">
        <v>1068</v>
      </c>
      <c r="E445" t="b">
        <f>COUNTIF(R:R,D445)&gt;0</f>
        <v>1</v>
      </c>
      <c r="F445" t="str">
        <f t="shared" si="6"/>
        <v>OK</v>
      </c>
      <c r="G445" t="s">
        <v>30</v>
      </c>
      <c r="H445" s="1">
        <v>0.46</v>
      </c>
      <c r="I445" t="s">
        <v>235</v>
      </c>
      <c r="K445" t="s">
        <v>270</v>
      </c>
      <c r="M445" t="s">
        <v>22</v>
      </c>
      <c r="O445" t="s">
        <v>22</v>
      </c>
    </row>
    <row r="446" spans="1:15" x14ac:dyDescent="0.2">
      <c r="A446" t="s">
        <v>991</v>
      </c>
      <c r="B446" t="s">
        <v>992</v>
      </c>
      <c r="C446" t="s">
        <v>1070</v>
      </c>
      <c r="D446" t="s">
        <v>1068</v>
      </c>
      <c r="E446" t="b">
        <f>COUNTIF(R:R,D446)&gt;0</f>
        <v>1</v>
      </c>
      <c r="F446" t="str">
        <f t="shared" si="6"/>
        <v>OK</v>
      </c>
      <c r="G446" t="s">
        <v>30</v>
      </c>
      <c r="H446" s="1">
        <v>0.46</v>
      </c>
      <c r="I446" t="s">
        <v>235</v>
      </c>
      <c r="K446" t="s">
        <v>270</v>
      </c>
      <c r="M446" t="s">
        <v>22</v>
      </c>
      <c r="O446" t="s">
        <v>22</v>
      </c>
    </row>
    <row r="447" spans="1:15" x14ac:dyDescent="0.2">
      <c r="A447" t="s">
        <v>991</v>
      </c>
      <c r="B447" t="s">
        <v>992</v>
      </c>
      <c r="C447" t="s">
        <v>1071</v>
      </c>
      <c r="D447" t="s">
        <v>1068</v>
      </c>
      <c r="E447" t="b">
        <f>COUNTIF(R:R,D447)&gt;0</f>
        <v>1</v>
      </c>
      <c r="F447" t="str">
        <f t="shared" si="6"/>
        <v>OK</v>
      </c>
      <c r="G447" t="s">
        <v>18</v>
      </c>
      <c r="H447" s="1">
        <v>0.46</v>
      </c>
      <c r="I447" t="s">
        <v>235</v>
      </c>
      <c r="K447" t="s">
        <v>270</v>
      </c>
      <c r="M447" t="s">
        <v>22</v>
      </c>
      <c r="O447" t="s">
        <v>22</v>
      </c>
    </row>
    <row r="448" spans="1:15" x14ac:dyDescent="0.2">
      <c r="A448" t="s">
        <v>991</v>
      </c>
      <c r="B448" t="s">
        <v>992</v>
      </c>
      <c r="C448" t="s">
        <v>1072</v>
      </c>
      <c r="D448" t="s">
        <v>1068</v>
      </c>
      <c r="E448" t="b">
        <f>COUNTIF(R:R,D448)&gt;0</f>
        <v>1</v>
      </c>
      <c r="F448" t="str">
        <f t="shared" si="6"/>
        <v>OK</v>
      </c>
      <c r="G448" t="s">
        <v>18</v>
      </c>
      <c r="H448" s="1">
        <v>0.46</v>
      </c>
      <c r="I448" t="s">
        <v>235</v>
      </c>
      <c r="K448" t="s">
        <v>270</v>
      </c>
      <c r="M448" t="s">
        <v>22</v>
      </c>
      <c r="O448" t="s">
        <v>22</v>
      </c>
    </row>
    <row r="449" spans="1:15" x14ac:dyDescent="0.2">
      <c r="A449" t="s">
        <v>991</v>
      </c>
      <c r="B449" t="s">
        <v>992</v>
      </c>
      <c r="C449" t="s">
        <v>1073</v>
      </c>
      <c r="D449" t="s">
        <v>1068</v>
      </c>
      <c r="E449" t="b">
        <f>COUNTIF(R:R,D449)&gt;0</f>
        <v>1</v>
      </c>
      <c r="F449" t="str">
        <f t="shared" si="6"/>
        <v>OK</v>
      </c>
      <c r="G449" t="s">
        <v>18</v>
      </c>
      <c r="H449" s="1">
        <v>0.48</v>
      </c>
      <c r="I449" t="s">
        <v>1074</v>
      </c>
      <c r="K449" t="s">
        <v>270</v>
      </c>
      <c r="M449" t="s">
        <v>22</v>
      </c>
      <c r="O449" t="s">
        <v>22</v>
      </c>
    </row>
    <row r="450" spans="1:15" x14ac:dyDescent="0.2">
      <c r="A450" t="s">
        <v>991</v>
      </c>
      <c r="B450" t="s">
        <v>992</v>
      </c>
      <c r="C450" t="s">
        <v>1075</v>
      </c>
      <c r="D450" t="s">
        <v>1068</v>
      </c>
      <c r="E450" t="b">
        <f>COUNTIF(R:R,D450)&gt;0</f>
        <v>1</v>
      </c>
      <c r="F450" t="str">
        <f t="shared" si="6"/>
        <v>OK</v>
      </c>
      <c r="G450" t="s">
        <v>18</v>
      </c>
      <c r="H450" s="1">
        <v>0.48</v>
      </c>
      <c r="I450" t="s">
        <v>1074</v>
      </c>
      <c r="K450" t="s">
        <v>270</v>
      </c>
      <c r="M450" t="s">
        <v>22</v>
      </c>
      <c r="O450" t="s">
        <v>22</v>
      </c>
    </row>
    <row r="451" spans="1:15" x14ac:dyDescent="0.2">
      <c r="A451" t="s">
        <v>991</v>
      </c>
      <c r="B451" t="s">
        <v>992</v>
      </c>
      <c r="C451" t="s">
        <v>1076</v>
      </c>
      <c r="D451" t="s">
        <v>1077</v>
      </c>
      <c r="E451" t="b">
        <f>COUNTIF(R:R,D451)&gt;0</f>
        <v>1</v>
      </c>
      <c r="F451" t="str">
        <f t="shared" ref="F451:F464" si="7">IF(COUNTIF(C451,"*hybrid*")&gt;0,
     IF(COUNTIF(D451,"*hybrid*")&gt;0,"OK","Mismatch"),
     "OK")</f>
        <v>OK</v>
      </c>
      <c r="G451" t="s">
        <v>30</v>
      </c>
      <c r="H451" s="1">
        <v>0.02</v>
      </c>
      <c r="I451" t="s">
        <v>192</v>
      </c>
      <c r="J451" t="s">
        <v>1078</v>
      </c>
      <c r="K451" t="s">
        <v>827</v>
      </c>
      <c r="M451" t="s">
        <v>22</v>
      </c>
      <c r="O451" t="s">
        <v>22</v>
      </c>
    </row>
    <row r="452" spans="1:15" x14ac:dyDescent="0.2">
      <c r="A452" t="s">
        <v>991</v>
      </c>
      <c r="B452" t="s">
        <v>992</v>
      </c>
      <c r="C452" t="s">
        <v>1079</v>
      </c>
      <c r="D452" t="s">
        <v>1080</v>
      </c>
      <c r="E452" t="b">
        <f>COUNTIF(R:R,D452)&gt;0</f>
        <v>1</v>
      </c>
      <c r="F452" t="str">
        <f t="shared" si="7"/>
        <v>OK</v>
      </c>
      <c r="G452" t="s">
        <v>30</v>
      </c>
      <c r="H452" s="1">
        <v>0.49</v>
      </c>
      <c r="I452" t="s">
        <v>217</v>
      </c>
      <c r="K452" t="s">
        <v>270</v>
      </c>
      <c r="M452" t="s">
        <v>22</v>
      </c>
      <c r="O452" t="s">
        <v>22</v>
      </c>
    </row>
    <row r="453" spans="1:15" x14ac:dyDescent="0.2">
      <c r="A453" t="s">
        <v>991</v>
      </c>
      <c r="B453" t="s">
        <v>992</v>
      </c>
      <c r="C453" t="s">
        <v>1081</v>
      </c>
      <c r="D453" t="s">
        <v>1080</v>
      </c>
      <c r="E453" t="b">
        <f>COUNTIF(R:R,D453)&gt;0</f>
        <v>1</v>
      </c>
      <c r="F453" t="str">
        <f t="shared" si="7"/>
        <v>OK</v>
      </c>
      <c r="G453" t="s">
        <v>30</v>
      </c>
      <c r="H453" s="1">
        <v>0.49</v>
      </c>
      <c r="I453" t="s">
        <v>217</v>
      </c>
      <c r="K453" t="s">
        <v>270</v>
      </c>
      <c r="M453" t="s">
        <v>22</v>
      </c>
      <c r="O453" t="s">
        <v>22</v>
      </c>
    </row>
    <row r="454" spans="1:15" x14ac:dyDescent="0.2">
      <c r="A454" t="s">
        <v>991</v>
      </c>
      <c r="B454" t="s">
        <v>992</v>
      </c>
      <c r="C454" t="s">
        <v>1082</v>
      </c>
      <c r="D454" t="s">
        <v>1080</v>
      </c>
      <c r="E454" t="b">
        <f>COUNTIF(R:R,D454)&gt;0</f>
        <v>1</v>
      </c>
      <c r="F454" t="str">
        <f t="shared" si="7"/>
        <v>OK</v>
      </c>
      <c r="G454" t="s">
        <v>30</v>
      </c>
      <c r="H454" s="1">
        <v>0.49</v>
      </c>
      <c r="I454" t="s">
        <v>217</v>
      </c>
      <c r="K454" t="s">
        <v>270</v>
      </c>
      <c r="M454" t="s">
        <v>22</v>
      </c>
      <c r="O454" t="s">
        <v>22</v>
      </c>
    </row>
    <row r="455" spans="1:15" x14ac:dyDescent="0.2">
      <c r="A455" t="s">
        <v>991</v>
      </c>
      <c r="B455" t="s">
        <v>992</v>
      </c>
      <c r="C455" t="s">
        <v>1083</v>
      </c>
      <c r="D455" t="s">
        <v>1080</v>
      </c>
      <c r="E455" t="b">
        <f>COUNTIF(R:R,D455)&gt;0</f>
        <v>1</v>
      </c>
      <c r="F455" t="str">
        <f t="shared" si="7"/>
        <v>OK</v>
      </c>
      <c r="G455" t="s">
        <v>30</v>
      </c>
      <c r="H455" s="1">
        <v>0.48</v>
      </c>
      <c r="I455" t="s">
        <v>230</v>
      </c>
      <c r="K455" t="s">
        <v>270</v>
      </c>
      <c r="M455" t="s">
        <v>22</v>
      </c>
      <c r="O455" t="s">
        <v>22</v>
      </c>
    </row>
    <row r="456" spans="1:15" x14ac:dyDescent="0.2">
      <c r="A456" t="s">
        <v>991</v>
      </c>
      <c r="B456" t="s">
        <v>992</v>
      </c>
      <c r="C456" t="s">
        <v>1084</v>
      </c>
      <c r="D456" t="s">
        <v>1085</v>
      </c>
      <c r="E456" t="b">
        <f>COUNTIF(R:R,D456)&gt;0</f>
        <v>1</v>
      </c>
      <c r="F456" t="str">
        <f t="shared" si="7"/>
        <v>OK</v>
      </c>
      <c r="G456" t="s">
        <v>18</v>
      </c>
      <c r="H456" s="1">
        <v>0</v>
      </c>
      <c r="I456" t="s">
        <v>1030</v>
      </c>
      <c r="K456" t="s">
        <v>22</v>
      </c>
      <c r="M456" t="s">
        <v>22</v>
      </c>
      <c r="O456" t="s">
        <v>22</v>
      </c>
    </row>
    <row r="457" spans="1:15" x14ac:dyDescent="0.2">
      <c r="A457" t="s">
        <v>991</v>
      </c>
      <c r="B457" t="s">
        <v>992</v>
      </c>
      <c r="C457" t="s">
        <v>1086</v>
      </c>
      <c r="D457" t="s">
        <v>1085</v>
      </c>
      <c r="E457" t="b">
        <f>COUNTIF(R:R,D457)&gt;0</f>
        <v>1</v>
      </c>
      <c r="F457" t="str">
        <f t="shared" si="7"/>
        <v>OK</v>
      </c>
      <c r="G457" t="s">
        <v>18</v>
      </c>
      <c r="H457" s="1">
        <v>0</v>
      </c>
      <c r="I457" t="s">
        <v>1021</v>
      </c>
      <c r="K457" t="s">
        <v>22</v>
      </c>
      <c r="M457" t="s">
        <v>22</v>
      </c>
      <c r="O457" t="s">
        <v>22</v>
      </c>
    </row>
    <row r="458" spans="1:15" x14ac:dyDescent="0.2">
      <c r="A458" t="s">
        <v>991</v>
      </c>
      <c r="B458" t="s">
        <v>992</v>
      </c>
      <c r="C458" t="s">
        <v>1087</v>
      </c>
      <c r="D458" t="s">
        <v>1085</v>
      </c>
      <c r="E458" t="b">
        <f>COUNTIF(R:R,D458)&gt;0</f>
        <v>1</v>
      </c>
      <c r="F458" t="str">
        <f t="shared" si="7"/>
        <v>OK</v>
      </c>
      <c r="G458" t="s">
        <v>18</v>
      </c>
      <c r="H458" s="1">
        <v>0</v>
      </c>
      <c r="I458" t="s">
        <v>1088</v>
      </c>
      <c r="K458" t="s">
        <v>22</v>
      </c>
      <c r="M458" t="s">
        <v>22</v>
      </c>
      <c r="O458" t="s">
        <v>22</v>
      </c>
    </row>
    <row r="459" spans="1:15" x14ac:dyDescent="0.2">
      <c r="A459" t="s">
        <v>991</v>
      </c>
      <c r="B459" t="s">
        <v>992</v>
      </c>
      <c r="C459" t="s">
        <v>1089</v>
      </c>
      <c r="D459" t="s">
        <v>1085</v>
      </c>
      <c r="E459" t="b">
        <f>COUNTIF(R:R,D459)&gt;0</f>
        <v>1</v>
      </c>
      <c r="F459" t="str">
        <f t="shared" si="7"/>
        <v>OK</v>
      </c>
      <c r="G459" t="s">
        <v>18</v>
      </c>
      <c r="H459" s="1">
        <v>0</v>
      </c>
      <c r="I459" t="s">
        <v>1088</v>
      </c>
      <c r="K459" t="s">
        <v>22</v>
      </c>
      <c r="M459" t="s">
        <v>22</v>
      </c>
      <c r="O459" t="s">
        <v>22</v>
      </c>
    </row>
    <row r="460" spans="1:15" x14ac:dyDescent="0.2">
      <c r="A460" t="s">
        <v>991</v>
      </c>
      <c r="B460" t="s">
        <v>992</v>
      </c>
      <c r="C460" t="s">
        <v>1090</v>
      </c>
      <c r="D460" t="s">
        <v>1091</v>
      </c>
      <c r="E460" t="b">
        <f>COUNTIF(R:R,D460)&gt;0</f>
        <v>1</v>
      </c>
      <c r="F460" t="str">
        <f t="shared" si="7"/>
        <v>OK</v>
      </c>
      <c r="G460" t="s">
        <v>18</v>
      </c>
      <c r="H460" s="1">
        <v>0.04</v>
      </c>
      <c r="I460" t="s">
        <v>80</v>
      </c>
      <c r="J460" t="s">
        <v>1092</v>
      </c>
      <c r="K460" t="s">
        <v>487</v>
      </c>
      <c r="M460" t="s">
        <v>22</v>
      </c>
      <c r="O460" t="s">
        <v>22</v>
      </c>
    </row>
    <row r="461" spans="1:15" x14ac:dyDescent="0.2">
      <c r="A461" t="s">
        <v>991</v>
      </c>
      <c r="B461" t="s">
        <v>992</v>
      </c>
      <c r="C461" t="s">
        <v>1093</v>
      </c>
      <c r="D461" t="s">
        <v>1091</v>
      </c>
      <c r="E461" t="b">
        <f>COUNTIF(R:R,D461)&gt;0</f>
        <v>1</v>
      </c>
      <c r="F461" t="str">
        <f t="shared" si="7"/>
        <v>OK</v>
      </c>
      <c r="G461" t="s">
        <v>18</v>
      </c>
      <c r="H461" s="1">
        <v>0</v>
      </c>
      <c r="I461" t="s">
        <v>222</v>
      </c>
      <c r="J461" t="s">
        <v>55</v>
      </c>
      <c r="K461" t="s">
        <v>22</v>
      </c>
      <c r="M461" t="s">
        <v>22</v>
      </c>
      <c r="O461" t="s">
        <v>22</v>
      </c>
    </row>
    <row r="462" spans="1:15" x14ac:dyDescent="0.2">
      <c r="A462" t="s">
        <v>991</v>
      </c>
      <c r="B462" t="s">
        <v>992</v>
      </c>
      <c r="C462" t="s">
        <v>1094</v>
      </c>
      <c r="D462" t="s">
        <v>1095</v>
      </c>
      <c r="E462" t="b">
        <f>COUNTIF(R:R,D462)&gt;0</f>
        <v>1</v>
      </c>
      <c r="F462" t="str">
        <f t="shared" si="7"/>
        <v>OK</v>
      </c>
      <c r="G462" t="s">
        <v>30</v>
      </c>
      <c r="H462" s="1">
        <v>0.05</v>
      </c>
      <c r="I462" t="s">
        <v>70</v>
      </c>
      <c r="J462" t="s">
        <v>718</v>
      </c>
      <c r="K462" t="s">
        <v>487</v>
      </c>
      <c r="M462" t="s">
        <v>22</v>
      </c>
      <c r="O462" t="s">
        <v>22</v>
      </c>
    </row>
    <row r="463" spans="1:15" x14ac:dyDescent="0.2">
      <c r="A463" t="s">
        <v>991</v>
      </c>
      <c r="B463" t="s">
        <v>1096</v>
      </c>
      <c r="C463" t="s">
        <v>1097</v>
      </c>
      <c r="D463" t="s">
        <v>1684</v>
      </c>
      <c r="E463" t="b">
        <f>COUNTIF(R:R,D463)&gt;0</f>
        <v>1</v>
      </c>
      <c r="F463" t="str">
        <f t="shared" si="7"/>
        <v>OK</v>
      </c>
      <c r="G463" t="s">
        <v>30</v>
      </c>
      <c r="H463" s="1">
        <v>0.21</v>
      </c>
      <c r="I463" t="s">
        <v>1098</v>
      </c>
      <c r="J463" t="s">
        <v>145</v>
      </c>
      <c r="K463" t="s">
        <v>270</v>
      </c>
      <c r="M463" t="s">
        <v>270</v>
      </c>
      <c r="O463" t="s">
        <v>22</v>
      </c>
    </row>
    <row r="464" spans="1:15" x14ac:dyDescent="0.2">
      <c r="A464" t="s">
        <v>991</v>
      </c>
      <c r="B464" t="s">
        <v>1096</v>
      </c>
      <c r="C464" t="s">
        <v>1099</v>
      </c>
      <c r="D464" t="s">
        <v>1684</v>
      </c>
      <c r="E464" t="b">
        <f>COUNTIF(R:R,D464)&gt;0</f>
        <v>1</v>
      </c>
      <c r="F464" t="str">
        <f t="shared" si="7"/>
        <v>OK</v>
      </c>
      <c r="G464" t="s">
        <v>30</v>
      </c>
      <c r="H464" s="1">
        <v>0.18</v>
      </c>
      <c r="I464" t="s">
        <v>545</v>
      </c>
      <c r="J464" t="s">
        <v>162</v>
      </c>
      <c r="K464" t="s">
        <v>546</v>
      </c>
      <c r="M464" t="s">
        <v>270</v>
      </c>
      <c r="O464" t="s">
        <v>22</v>
      </c>
    </row>
    <row r="465" spans="1:15" x14ac:dyDescent="0.2">
      <c r="A465" t="s">
        <v>1100</v>
      </c>
      <c r="B465" t="s">
        <v>1101</v>
      </c>
      <c r="C465" t="s">
        <v>1102</v>
      </c>
      <c r="D465" t="s">
        <v>1103</v>
      </c>
      <c r="E465" t="b">
        <f t="shared" ref="E465:E528" si="8">COUNTIF(R:R,D465)&gt;0</f>
        <v>1</v>
      </c>
      <c r="F465" t="str">
        <f t="shared" ref="F465:F528" si="9">IF(COUNTIF(C465,"*hybrid*")&gt;0,
     IF(COUNTIF(D465,"*hybrid*")&gt;0,"OK","Mismatch"),
     "OK")</f>
        <v>OK</v>
      </c>
      <c r="G465" t="s">
        <v>30</v>
      </c>
      <c r="H465" s="1">
        <v>0</v>
      </c>
      <c r="I465" t="s">
        <v>1104</v>
      </c>
      <c r="K465" t="s">
        <v>236</v>
      </c>
      <c r="M465" t="s">
        <v>236</v>
      </c>
      <c r="O465" t="s">
        <v>236</v>
      </c>
    </row>
    <row r="466" spans="1:15" x14ac:dyDescent="0.2">
      <c r="A466" t="s">
        <v>1100</v>
      </c>
      <c r="B466" t="s">
        <v>1101</v>
      </c>
      <c r="C466" t="s">
        <v>1105</v>
      </c>
      <c r="D466" t="s">
        <v>1103</v>
      </c>
      <c r="E466" t="b">
        <f t="shared" si="8"/>
        <v>1</v>
      </c>
      <c r="F466" t="str">
        <f t="shared" si="9"/>
        <v>OK</v>
      </c>
      <c r="G466" t="s">
        <v>30</v>
      </c>
      <c r="H466" s="1">
        <v>0</v>
      </c>
      <c r="I466" t="s">
        <v>1106</v>
      </c>
      <c r="K466" t="s">
        <v>236</v>
      </c>
      <c r="M466" t="s">
        <v>236</v>
      </c>
      <c r="O466" t="s">
        <v>236</v>
      </c>
    </row>
    <row r="467" spans="1:15" x14ac:dyDescent="0.2">
      <c r="A467" t="s">
        <v>1100</v>
      </c>
      <c r="B467" t="s">
        <v>1101</v>
      </c>
      <c r="C467" t="s">
        <v>1107</v>
      </c>
      <c r="D467" t="s">
        <v>1103</v>
      </c>
      <c r="E467" t="b">
        <f t="shared" si="8"/>
        <v>1</v>
      </c>
      <c r="F467" t="str">
        <f t="shared" si="9"/>
        <v>OK</v>
      </c>
      <c r="G467" t="s">
        <v>30</v>
      </c>
      <c r="H467" s="1">
        <v>0</v>
      </c>
      <c r="I467" t="s">
        <v>1108</v>
      </c>
      <c r="K467" t="s">
        <v>236</v>
      </c>
      <c r="M467" t="s">
        <v>236</v>
      </c>
      <c r="O467" t="s">
        <v>236</v>
      </c>
    </row>
    <row r="468" spans="1:15" x14ac:dyDescent="0.2">
      <c r="A468" t="s">
        <v>1100</v>
      </c>
      <c r="B468" t="s">
        <v>1101</v>
      </c>
      <c r="C468" t="s">
        <v>1109</v>
      </c>
      <c r="D468" t="s">
        <v>1103</v>
      </c>
      <c r="E468" t="b">
        <f t="shared" si="8"/>
        <v>1</v>
      </c>
      <c r="F468" t="str">
        <f t="shared" si="9"/>
        <v>OK</v>
      </c>
      <c r="G468" t="s">
        <v>30</v>
      </c>
      <c r="H468" s="1">
        <v>0</v>
      </c>
      <c r="I468" t="s">
        <v>1110</v>
      </c>
      <c r="K468" t="s">
        <v>236</v>
      </c>
      <c r="M468" t="s">
        <v>236</v>
      </c>
      <c r="O468" t="s">
        <v>236</v>
      </c>
    </row>
    <row r="469" spans="1:15" x14ac:dyDescent="0.2">
      <c r="A469" t="s">
        <v>1100</v>
      </c>
      <c r="B469" t="s">
        <v>1101</v>
      </c>
      <c r="C469" t="s">
        <v>1111</v>
      </c>
      <c r="D469" t="s">
        <v>1103</v>
      </c>
      <c r="E469" t="b">
        <f t="shared" si="8"/>
        <v>1</v>
      </c>
      <c r="F469" t="str">
        <f t="shared" si="9"/>
        <v>OK</v>
      </c>
      <c r="G469" t="s">
        <v>30</v>
      </c>
      <c r="H469" s="1">
        <v>0</v>
      </c>
      <c r="I469" t="s">
        <v>1106</v>
      </c>
      <c r="K469" t="s">
        <v>236</v>
      </c>
      <c r="M469" t="s">
        <v>236</v>
      </c>
      <c r="O469" t="s">
        <v>236</v>
      </c>
    </row>
    <row r="470" spans="1:15" x14ac:dyDescent="0.2">
      <c r="A470" t="s">
        <v>1100</v>
      </c>
      <c r="B470" t="s">
        <v>1101</v>
      </c>
      <c r="C470" t="s">
        <v>1112</v>
      </c>
      <c r="D470" t="s">
        <v>1103</v>
      </c>
      <c r="E470" t="b">
        <f t="shared" si="8"/>
        <v>1</v>
      </c>
      <c r="F470" t="str">
        <f t="shared" si="9"/>
        <v>OK</v>
      </c>
      <c r="G470" t="s">
        <v>30</v>
      </c>
      <c r="H470" s="1">
        <v>0</v>
      </c>
      <c r="I470" t="s">
        <v>1113</v>
      </c>
      <c r="K470" t="s">
        <v>236</v>
      </c>
      <c r="M470" t="s">
        <v>236</v>
      </c>
      <c r="O470" t="s">
        <v>236</v>
      </c>
    </row>
    <row r="471" spans="1:15" x14ac:dyDescent="0.2">
      <c r="A471" t="s">
        <v>1100</v>
      </c>
      <c r="B471" t="s">
        <v>1101</v>
      </c>
      <c r="C471" t="s">
        <v>1114</v>
      </c>
      <c r="D471" t="s">
        <v>1103</v>
      </c>
      <c r="E471" t="b">
        <f t="shared" si="8"/>
        <v>1</v>
      </c>
      <c r="F471" t="str">
        <f t="shared" si="9"/>
        <v>OK</v>
      </c>
      <c r="G471" t="s">
        <v>30</v>
      </c>
      <c r="H471" s="1">
        <v>0.01</v>
      </c>
      <c r="I471" t="s">
        <v>1106</v>
      </c>
      <c r="K471" t="s">
        <v>236</v>
      </c>
      <c r="M471" t="s">
        <v>236</v>
      </c>
      <c r="O471" t="s">
        <v>236</v>
      </c>
    </row>
    <row r="472" spans="1:15" x14ac:dyDescent="0.2">
      <c r="A472" t="s">
        <v>1100</v>
      </c>
      <c r="B472" t="s">
        <v>1101</v>
      </c>
      <c r="C472" t="s">
        <v>1115</v>
      </c>
      <c r="D472" t="s">
        <v>1103</v>
      </c>
      <c r="E472" t="b">
        <f t="shared" si="8"/>
        <v>1</v>
      </c>
      <c r="F472" t="str">
        <f t="shared" si="9"/>
        <v>OK</v>
      </c>
      <c r="G472" t="s">
        <v>30</v>
      </c>
      <c r="H472" s="1">
        <v>0.01</v>
      </c>
      <c r="I472" t="s">
        <v>1113</v>
      </c>
      <c r="K472" t="s">
        <v>236</v>
      </c>
      <c r="M472" t="s">
        <v>236</v>
      </c>
      <c r="O472" t="s">
        <v>236</v>
      </c>
    </row>
    <row r="473" spans="1:15" x14ac:dyDescent="0.2">
      <c r="A473" t="s">
        <v>1100</v>
      </c>
      <c r="B473" t="s">
        <v>1101</v>
      </c>
      <c r="C473" t="s">
        <v>1116</v>
      </c>
      <c r="D473" t="s">
        <v>1117</v>
      </c>
      <c r="E473" t="b">
        <f t="shared" si="8"/>
        <v>1</v>
      </c>
      <c r="F473" t="str">
        <f t="shared" si="9"/>
        <v>OK</v>
      </c>
      <c r="G473" t="s">
        <v>18</v>
      </c>
      <c r="H473" s="1">
        <v>0</v>
      </c>
      <c r="I473" t="s">
        <v>1118</v>
      </c>
      <c r="K473" t="s">
        <v>640</v>
      </c>
      <c r="M473" t="s">
        <v>640</v>
      </c>
      <c r="O473" t="s">
        <v>640</v>
      </c>
    </row>
    <row r="474" spans="1:15" x14ac:dyDescent="0.2">
      <c r="A474" t="s">
        <v>1100</v>
      </c>
      <c r="B474" t="s">
        <v>1101</v>
      </c>
      <c r="C474" t="s">
        <v>1119</v>
      </c>
      <c r="D474" t="s">
        <v>1117</v>
      </c>
      <c r="E474" t="b">
        <f t="shared" si="8"/>
        <v>1</v>
      </c>
      <c r="F474" t="str">
        <f t="shared" si="9"/>
        <v>OK</v>
      </c>
      <c r="G474" t="s">
        <v>18</v>
      </c>
      <c r="H474" s="1">
        <v>0</v>
      </c>
      <c r="I474" t="s">
        <v>1120</v>
      </c>
      <c r="K474" t="s">
        <v>640</v>
      </c>
      <c r="M474" t="s">
        <v>640</v>
      </c>
      <c r="O474" t="s">
        <v>640</v>
      </c>
    </row>
    <row r="475" spans="1:15" x14ac:dyDescent="0.2">
      <c r="A475" t="s">
        <v>1100</v>
      </c>
      <c r="B475" t="s">
        <v>1101</v>
      </c>
      <c r="C475" t="s">
        <v>1121</v>
      </c>
      <c r="D475" t="s">
        <v>1117</v>
      </c>
      <c r="E475" t="b">
        <f t="shared" si="8"/>
        <v>1</v>
      </c>
      <c r="F475" t="str">
        <f t="shared" si="9"/>
        <v>OK</v>
      </c>
      <c r="G475" t="s">
        <v>18</v>
      </c>
      <c r="H475" s="1">
        <v>0</v>
      </c>
      <c r="I475" t="s">
        <v>1120</v>
      </c>
      <c r="K475" t="s">
        <v>640</v>
      </c>
      <c r="M475" t="s">
        <v>640</v>
      </c>
      <c r="O475" t="s">
        <v>640</v>
      </c>
    </row>
    <row r="476" spans="1:15" x14ac:dyDescent="0.2">
      <c r="A476" t="s">
        <v>1100</v>
      </c>
      <c r="B476" t="s">
        <v>1101</v>
      </c>
      <c r="C476" t="s">
        <v>1122</v>
      </c>
      <c r="D476" t="s">
        <v>1117</v>
      </c>
      <c r="E476" t="b">
        <f t="shared" si="8"/>
        <v>1</v>
      </c>
      <c r="F476" t="str">
        <f t="shared" si="9"/>
        <v>OK</v>
      </c>
      <c r="G476" t="s">
        <v>18</v>
      </c>
      <c r="H476" s="1">
        <v>0</v>
      </c>
      <c r="I476" t="s">
        <v>1120</v>
      </c>
      <c r="K476" t="s">
        <v>640</v>
      </c>
      <c r="M476" t="s">
        <v>640</v>
      </c>
      <c r="O476" t="s">
        <v>640</v>
      </c>
    </row>
    <row r="477" spans="1:15" x14ac:dyDescent="0.2">
      <c r="A477" t="s">
        <v>1100</v>
      </c>
      <c r="B477" t="s">
        <v>1101</v>
      </c>
      <c r="C477" t="s">
        <v>1123</v>
      </c>
      <c r="D477" t="s">
        <v>1117</v>
      </c>
      <c r="E477" t="b">
        <f t="shared" si="8"/>
        <v>1</v>
      </c>
      <c r="F477" t="str">
        <f t="shared" si="9"/>
        <v>OK</v>
      </c>
      <c r="G477" t="s">
        <v>18</v>
      </c>
      <c r="H477" s="1">
        <v>0</v>
      </c>
      <c r="I477" t="s">
        <v>1120</v>
      </c>
      <c r="K477" t="s">
        <v>640</v>
      </c>
      <c r="M477" t="s">
        <v>640</v>
      </c>
      <c r="O477" t="s">
        <v>640</v>
      </c>
    </row>
    <row r="478" spans="1:15" x14ac:dyDescent="0.2">
      <c r="A478" t="s">
        <v>1100</v>
      </c>
      <c r="B478" t="s">
        <v>1101</v>
      </c>
      <c r="C478" t="s">
        <v>1124</v>
      </c>
      <c r="D478" t="s">
        <v>1117</v>
      </c>
      <c r="E478" t="b">
        <f t="shared" si="8"/>
        <v>1</v>
      </c>
      <c r="F478" t="str">
        <f t="shared" si="9"/>
        <v>OK</v>
      </c>
      <c r="G478" t="s">
        <v>18</v>
      </c>
    </row>
    <row r="479" spans="1:15" x14ac:dyDescent="0.2">
      <c r="A479" t="s">
        <v>1100</v>
      </c>
      <c r="B479" t="s">
        <v>1101</v>
      </c>
      <c r="C479" t="s">
        <v>1125</v>
      </c>
      <c r="D479" t="s">
        <v>1117</v>
      </c>
      <c r="E479" t="b">
        <f t="shared" si="8"/>
        <v>1</v>
      </c>
      <c r="F479" t="str">
        <f t="shared" si="9"/>
        <v>OK</v>
      </c>
      <c r="G479" t="s">
        <v>18</v>
      </c>
      <c r="H479" s="1">
        <v>0</v>
      </c>
      <c r="I479" t="s">
        <v>1120</v>
      </c>
      <c r="K479" t="s">
        <v>640</v>
      </c>
      <c r="M479" t="s">
        <v>640</v>
      </c>
      <c r="O479" t="s">
        <v>640</v>
      </c>
    </row>
    <row r="480" spans="1:15" x14ac:dyDescent="0.2">
      <c r="A480" t="s">
        <v>1100</v>
      </c>
      <c r="B480" t="s">
        <v>1101</v>
      </c>
      <c r="C480" t="s">
        <v>1126</v>
      </c>
      <c r="D480" t="s">
        <v>1117</v>
      </c>
      <c r="E480" t="b">
        <f t="shared" si="8"/>
        <v>1</v>
      </c>
      <c r="F480" t="str">
        <f t="shared" si="9"/>
        <v>OK</v>
      </c>
      <c r="G480" t="s">
        <v>18</v>
      </c>
      <c r="H480" s="1">
        <v>0</v>
      </c>
      <c r="I480" t="s">
        <v>1120</v>
      </c>
      <c r="K480" t="s">
        <v>640</v>
      </c>
      <c r="M480" t="s">
        <v>640</v>
      </c>
      <c r="O480" t="s">
        <v>640</v>
      </c>
    </row>
    <row r="481" spans="1:15" x14ac:dyDescent="0.2">
      <c r="A481" t="s">
        <v>1100</v>
      </c>
      <c r="B481" t="s">
        <v>1101</v>
      </c>
      <c r="C481" t="s">
        <v>1127</v>
      </c>
      <c r="D481" t="s">
        <v>1117</v>
      </c>
      <c r="E481" t="b">
        <f t="shared" si="8"/>
        <v>1</v>
      </c>
      <c r="F481" t="str">
        <f t="shared" si="9"/>
        <v>OK</v>
      </c>
      <c r="G481" t="s">
        <v>18</v>
      </c>
      <c r="H481" s="1">
        <v>0</v>
      </c>
      <c r="I481" t="s">
        <v>1118</v>
      </c>
      <c r="K481" t="s">
        <v>640</v>
      </c>
      <c r="M481" t="s">
        <v>640</v>
      </c>
      <c r="O481" t="s">
        <v>640</v>
      </c>
    </row>
    <row r="482" spans="1:15" x14ac:dyDescent="0.2">
      <c r="A482" t="s">
        <v>1100</v>
      </c>
      <c r="B482" t="s">
        <v>1101</v>
      </c>
      <c r="C482" t="s">
        <v>1128</v>
      </c>
      <c r="D482" t="s">
        <v>1117</v>
      </c>
      <c r="E482" t="b">
        <f t="shared" si="8"/>
        <v>1</v>
      </c>
      <c r="F482" t="str">
        <f t="shared" si="9"/>
        <v>OK</v>
      </c>
      <c r="G482" t="s">
        <v>18</v>
      </c>
      <c r="H482" s="1">
        <v>0</v>
      </c>
      <c r="I482" t="s">
        <v>1120</v>
      </c>
      <c r="K482" t="s">
        <v>640</v>
      </c>
      <c r="M482" t="s">
        <v>640</v>
      </c>
      <c r="O482" t="s">
        <v>640</v>
      </c>
    </row>
    <row r="483" spans="1:15" x14ac:dyDescent="0.2">
      <c r="A483" t="s">
        <v>1100</v>
      </c>
      <c r="B483" t="s">
        <v>1101</v>
      </c>
      <c r="C483" t="s">
        <v>1129</v>
      </c>
      <c r="D483" t="s">
        <v>1117</v>
      </c>
      <c r="E483" t="b">
        <f t="shared" si="8"/>
        <v>1</v>
      </c>
      <c r="F483" t="str">
        <f t="shared" si="9"/>
        <v>OK</v>
      </c>
      <c r="G483" t="s">
        <v>18</v>
      </c>
      <c r="H483" s="1">
        <v>0</v>
      </c>
      <c r="I483" t="s">
        <v>1120</v>
      </c>
      <c r="K483" t="s">
        <v>640</v>
      </c>
      <c r="M483" t="s">
        <v>640</v>
      </c>
      <c r="O483" t="s">
        <v>640</v>
      </c>
    </row>
    <row r="484" spans="1:15" x14ac:dyDescent="0.2">
      <c r="A484" t="s">
        <v>1100</v>
      </c>
      <c r="B484" t="s">
        <v>1101</v>
      </c>
      <c r="C484" t="s">
        <v>1130</v>
      </c>
      <c r="D484" t="s">
        <v>1131</v>
      </c>
      <c r="E484" t="b">
        <f t="shared" si="8"/>
        <v>1</v>
      </c>
      <c r="F484" t="str">
        <f t="shared" si="9"/>
        <v>OK</v>
      </c>
      <c r="G484" t="s">
        <v>30</v>
      </c>
      <c r="H484" s="1">
        <v>0.03</v>
      </c>
      <c r="I484" t="s">
        <v>975</v>
      </c>
      <c r="K484" t="s">
        <v>236</v>
      </c>
      <c r="M484" t="s">
        <v>236</v>
      </c>
      <c r="O484" t="s">
        <v>236</v>
      </c>
    </row>
    <row r="485" spans="1:15" x14ac:dyDescent="0.2">
      <c r="A485" t="s">
        <v>1100</v>
      </c>
      <c r="B485" t="s">
        <v>1101</v>
      </c>
      <c r="C485" t="s">
        <v>1132</v>
      </c>
      <c r="D485" t="s">
        <v>1131</v>
      </c>
      <c r="E485" t="b">
        <f t="shared" si="8"/>
        <v>1</v>
      </c>
      <c r="F485" t="str">
        <f t="shared" si="9"/>
        <v>OK</v>
      </c>
      <c r="G485" t="s">
        <v>30</v>
      </c>
      <c r="H485" s="1">
        <v>0.03</v>
      </c>
      <c r="I485" t="s">
        <v>1133</v>
      </c>
      <c r="K485" t="s">
        <v>236</v>
      </c>
      <c r="M485" t="s">
        <v>236</v>
      </c>
      <c r="O485" t="s">
        <v>236</v>
      </c>
    </row>
    <row r="486" spans="1:15" x14ac:dyDescent="0.2">
      <c r="A486" t="s">
        <v>1100</v>
      </c>
      <c r="B486" t="s">
        <v>1101</v>
      </c>
      <c r="C486" t="s">
        <v>1134</v>
      </c>
      <c r="D486" t="s">
        <v>1131</v>
      </c>
      <c r="E486" t="b">
        <f t="shared" si="8"/>
        <v>1</v>
      </c>
      <c r="F486" t="str">
        <f t="shared" si="9"/>
        <v>OK</v>
      </c>
      <c r="G486" t="s">
        <v>30</v>
      </c>
      <c r="H486" s="1">
        <v>0.03</v>
      </c>
      <c r="I486" t="s">
        <v>975</v>
      </c>
      <c r="K486" t="s">
        <v>236</v>
      </c>
      <c r="M486" t="s">
        <v>236</v>
      </c>
      <c r="O486" t="s">
        <v>236</v>
      </c>
    </row>
    <row r="487" spans="1:15" x14ac:dyDescent="0.2">
      <c r="A487" t="s">
        <v>1100</v>
      </c>
      <c r="B487" t="s">
        <v>1101</v>
      </c>
      <c r="C487" t="s">
        <v>1135</v>
      </c>
      <c r="D487" t="s">
        <v>1131</v>
      </c>
      <c r="E487" t="b">
        <f t="shared" si="8"/>
        <v>1</v>
      </c>
      <c r="F487" t="str">
        <f t="shared" si="9"/>
        <v>OK</v>
      </c>
      <c r="G487" t="s">
        <v>30</v>
      </c>
      <c r="H487" s="1">
        <v>0.03</v>
      </c>
      <c r="I487" t="s">
        <v>1133</v>
      </c>
      <c r="K487" t="s">
        <v>236</v>
      </c>
      <c r="M487" t="s">
        <v>236</v>
      </c>
      <c r="O487" t="s">
        <v>236</v>
      </c>
    </row>
    <row r="488" spans="1:15" x14ac:dyDescent="0.2">
      <c r="A488" t="s">
        <v>1100</v>
      </c>
      <c r="B488" t="s">
        <v>1101</v>
      </c>
      <c r="C488" t="s">
        <v>1136</v>
      </c>
      <c r="D488" t="s">
        <v>1131</v>
      </c>
      <c r="E488" t="b">
        <f t="shared" si="8"/>
        <v>1</v>
      </c>
      <c r="F488" t="str">
        <f t="shared" si="9"/>
        <v>OK</v>
      </c>
      <c r="G488" t="s">
        <v>30</v>
      </c>
      <c r="H488" s="1">
        <v>0.03</v>
      </c>
      <c r="I488" t="s">
        <v>1137</v>
      </c>
      <c r="K488" t="s">
        <v>236</v>
      </c>
      <c r="M488" t="s">
        <v>236</v>
      </c>
      <c r="O488" t="s">
        <v>236</v>
      </c>
    </row>
    <row r="489" spans="1:15" x14ac:dyDescent="0.2">
      <c r="A489" t="s">
        <v>1100</v>
      </c>
      <c r="B489" t="s">
        <v>1101</v>
      </c>
      <c r="C489" t="s">
        <v>1138</v>
      </c>
      <c r="D489" t="s">
        <v>1131</v>
      </c>
      <c r="E489" t="b">
        <f t="shared" si="8"/>
        <v>1</v>
      </c>
      <c r="F489" t="str">
        <f t="shared" si="9"/>
        <v>OK</v>
      </c>
      <c r="G489" t="s">
        <v>30</v>
      </c>
      <c r="H489" s="1">
        <v>0.03</v>
      </c>
      <c r="I489" t="s">
        <v>1133</v>
      </c>
      <c r="K489" t="s">
        <v>236</v>
      </c>
      <c r="M489" t="s">
        <v>236</v>
      </c>
      <c r="O489" t="s">
        <v>236</v>
      </c>
    </row>
    <row r="490" spans="1:15" x14ac:dyDescent="0.2">
      <c r="A490" t="s">
        <v>1100</v>
      </c>
      <c r="B490" t="s">
        <v>1101</v>
      </c>
      <c r="C490" t="s">
        <v>1139</v>
      </c>
      <c r="D490" t="s">
        <v>1131</v>
      </c>
      <c r="E490" t="b">
        <f t="shared" si="8"/>
        <v>1</v>
      </c>
      <c r="F490" t="str">
        <f t="shared" si="9"/>
        <v>OK</v>
      </c>
      <c r="G490" t="s">
        <v>30</v>
      </c>
      <c r="H490" s="1">
        <v>0</v>
      </c>
      <c r="I490" t="s">
        <v>1106</v>
      </c>
      <c r="K490" t="s">
        <v>236</v>
      </c>
      <c r="M490" t="s">
        <v>236</v>
      </c>
      <c r="O490" t="s">
        <v>236</v>
      </c>
    </row>
    <row r="491" spans="1:15" x14ac:dyDescent="0.2">
      <c r="A491" t="s">
        <v>1100</v>
      </c>
      <c r="B491" t="s">
        <v>1101</v>
      </c>
      <c r="C491" t="s">
        <v>1140</v>
      </c>
      <c r="D491" t="s">
        <v>1131</v>
      </c>
      <c r="E491" t="b">
        <f t="shared" si="8"/>
        <v>1</v>
      </c>
      <c r="F491" t="str">
        <f t="shared" si="9"/>
        <v>OK</v>
      </c>
      <c r="G491" t="s">
        <v>30</v>
      </c>
      <c r="H491" s="1">
        <v>0</v>
      </c>
      <c r="I491" t="s">
        <v>1106</v>
      </c>
      <c r="K491" t="s">
        <v>236</v>
      </c>
      <c r="M491" t="s">
        <v>236</v>
      </c>
      <c r="O491" t="s">
        <v>236</v>
      </c>
    </row>
    <row r="492" spans="1:15" x14ac:dyDescent="0.2">
      <c r="A492" t="s">
        <v>1100</v>
      </c>
      <c r="B492" t="s">
        <v>1101</v>
      </c>
      <c r="C492" t="s">
        <v>1141</v>
      </c>
      <c r="D492" t="s">
        <v>1131</v>
      </c>
      <c r="E492" t="b">
        <f t="shared" si="8"/>
        <v>1</v>
      </c>
      <c r="F492" t="str">
        <f t="shared" si="9"/>
        <v>OK</v>
      </c>
      <c r="G492" t="s">
        <v>30</v>
      </c>
      <c r="H492" s="1">
        <v>0</v>
      </c>
      <c r="I492" t="s">
        <v>1106</v>
      </c>
      <c r="K492" t="s">
        <v>236</v>
      </c>
      <c r="M492" t="s">
        <v>236</v>
      </c>
      <c r="O492" t="s">
        <v>236</v>
      </c>
    </row>
    <row r="493" spans="1:15" x14ac:dyDescent="0.2">
      <c r="A493" t="s">
        <v>1100</v>
      </c>
      <c r="B493" t="s">
        <v>1101</v>
      </c>
      <c r="C493" t="s">
        <v>1142</v>
      </c>
      <c r="D493" t="s">
        <v>1131</v>
      </c>
      <c r="E493" t="b">
        <f t="shared" si="8"/>
        <v>1</v>
      </c>
      <c r="F493" t="str">
        <f t="shared" si="9"/>
        <v>OK</v>
      </c>
      <c r="G493" t="s">
        <v>30</v>
      </c>
      <c r="H493" s="1">
        <v>0</v>
      </c>
      <c r="I493" t="s">
        <v>1104</v>
      </c>
      <c r="K493" t="s">
        <v>236</v>
      </c>
      <c r="M493" t="s">
        <v>236</v>
      </c>
      <c r="O493" t="s">
        <v>236</v>
      </c>
    </row>
    <row r="494" spans="1:15" x14ac:dyDescent="0.2">
      <c r="A494" t="s">
        <v>1100</v>
      </c>
      <c r="B494" t="s">
        <v>1101</v>
      </c>
      <c r="C494" t="s">
        <v>1143</v>
      </c>
      <c r="D494" t="s">
        <v>1144</v>
      </c>
      <c r="E494" t="b">
        <f t="shared" si="8"/>
        <v>1</v>
      </c>
      <c r="F494" t="str">
        <f t="shared" si="9"/>
        <v>OK</v>
      </c>
      <c r="G494" t="s">
        <v>30</v>
      </c>
      <c r="H494" s="1">
        <v>0</v>
      </c>
      <c r="I494" t="s">
        <v>1106</v>
      </c>
      <c r="K494" t="s">
        <v>236</v>
      </c>
      <c r="M494" t="s">
        <v>236</v>
      </c>
      <c r="O494" t="s">
        <v>236</v>
      </c>
    </row>
    <row r="495" spans="1:15" x14ac:dyDescent="0.2">
      <c r="A495" t="s">
        <v>1100</v>
      </c>
      <c r="B495" t="s">
        <v>1101</v>
      </c>
      <c r="C495" t="s">
        <v>1145</v>
      </c>
      <c r="D495" t="s">
        <v>1131</v>
      </c>
      <c r="E495" t="b">
        <f t="shared" si="8"/>
        <v>1</v>
      </c>
      <c r="F495" t="str">
        <f t="shared" si="9"/>
        <v>OK</v>
      </c>
      <c r="G495" t="s">
        <v>30</v>
      </c>
      <c r="H495" s="1">
        <v>0</v>
      </c>
      <c r="I495" t="s">
        <v>1106</v>
      </c>
      <c r="K495" t="s">
        <v>236</v>
      </c>
      <c r="M495" t="s">
        <v>236</v>
      </c>
      <c r="O495" t="s">
        <v>236</v>
      </c>
    </row>
    <row r="496" spans="1:15" x14ac:dyDescent="0.2">
      <c r="A496" t="s">
        <v>1100</v>
      </c>
      <c r="B496" t="s">
        <v>1101</v>
      </c>
      <c r="C496" t="s">
        <v>1146</v>
      </c>
      <c r="D496" t="s">
        <v>1131</v>
      </c>
      <c r="E496" t="b">
        <f t="shared" si="8"/>
        <v>1</v>
      </c>
      <c r="F496" t="str">
        <f t="shared" si="9"/>
        <v>OK</v>
      </c>
      <c r="G496" t="s">
        <v>30</v>
      </c>
      <c r="H496" s="1">
        <v>0</v>
      </c>
      <c r="I496" t="s">
        <v>1106</v>
      </c>
      <c r="K496" t="s">
        <v>236</v>
      </c>
      <c r="M496" t="s">
        <v>236</v>
      </c>
      <c r="O496" t="s">
        <v>236</v>
      </c>
    </row>
    <row r="497" spans="1:15" x14ac:dyDescent="0.2">
      <c r="A497" t="s">
        <v>1100</v>
      </c>
      <c r="B497" t="s">
        <v>1101</v>
      </c>
      <c r="C497" t="s">
        <v>1147</v>
      </c>
      <c r="D497" t="s">
        <v>1131</v>
      </c>
      <c r="E497" t="b">
        <f t="shared" si="8"/>
        <v>1</v>
      </c>
      <c r="F497" t="str">
        <f t="shared" si="9"/>
        <v>OK</v>
      </c>
      <c r="G497" t="s">
        <v>30</v>
      </c>
      <c r="H497" s="1">
        <v>0</v>
      </c>
      <c r="I497" t="s">
        <v>1104</v>
      </c>
      <c r="K497" t="s">
        <v>236</v>
      </c>
      <c r="M497" t="s">
        <v>236</v>
      </c>
      <c r="O497" t="s">
        <v>236</v>
      </c>
    </row>
    <row r="498" spans="1:15" x14ac:dyDescent="0.2">
      <c r="A498" t="s">
        <v>1100</v>
      </c>
      <c r="B498" t="s">
        <v>1101</v>
      </c>
      <c r="C498" t="s">
        <v>1148</v>
      </c>
      <c r="D498" t="s">
        <v>1131</v>
      </c>
      <c r="E498" t="b">
        <f t="shared" si="8"/>
        <v>1</v>
      </c>
      <c r="F498" t="str">
        <f t="shared" si="9"/>
        <v>OK</v>
      </c>
      <c r="G498" t="s">
        <v>30</v>
      </c>
      <c r="H498" s="1">
        <v>0</v>
      </c>
      <c r="I498" t="s">
        <v>1106</v>
      </c>
      <c r="K498" t="s">
        <v>236</v>
      </c>
      <c r="M498" t="s">
        <v>236</v>
      </c>
      <c r="O498" t="s">
        <v>236</v>
      </c>
    </row>
    <row r="499" spans="1:15" x14ac:dyDescent="0.2">
      <c r="A499" t="s">
        <v>1100</v>
      </c>
      <c r="B499" t="s">
        <v>1101</v>
      </c>
      <c r="C499" t="s">
        <v>1149</v>
      </c>
      <c r="D499" t="s">
        <v>1131</v>
      </c>
      <c r="E499" t="b">
        <f t="shared" si="8"/>
        <v>1</v>
      </c>
      <c r="F499" t="str">
        <f t="shared" si="9"/>
        <v>OK</v>
      </c>
      <c r="G499" t="s">
        <v>30</v>
      </c>
      <c r="H499" s="1">
        <v>0</v>
      </c>
      <c r="I499" t="s">
        <v>1104</v>
      </c>
      <c r="K499" t="s">
        <v>236</v>
      </c>
      <c r="M499" t="s">
        <v>236</v>
      </c>
      <c r="O499" t="s">
        <v>236</v>
      </c>
    </row>
    <row r="500" spans="1:15" x14ac:dyDescent="0.2">
      <c r="A500" t="s">
        <v>1100</v>
      </c>
      <c r="B500" t="s">
        <v>1101</v>
      </c>
      <c r="C500" t="s">
        <v>1150</v>
      </c>
      <c r="D500" t="s">
        <v>1131</v>
      </c>
      <c r="E500" t="b">
        <f t="shared" si="8"/>
        <v>1</v>
      </c>
      <c r="F500" t="str">
        <f t="shared" si="9"/>
        <v>OK</v>
      </c>
      <c r="G500" t="s">
        <v>30</v>
      </c>
      <c r="H500" s="1">
        <v>0</v>
      </c>
      <c r="I500" t="s">
        <v>1106</v>
      </c>
      <c r="K500" t="s">
        <v>236</v>
      </c>
      <c r="M500" t="s">
        <v>236</v>
      </c>
      <c r="O500" t="s">
        <v>236</v>
      </c>
    </row>
    <row r="501" spans="1:15" x14ac:dyDescent="0.2">
      <c r="A501" t="s">
        <v>1100</v>
      </c>
      <c r="B501" t="s">
        <v>1101</v>
      </c>
      <c r="C501" t="s">
        <v>1151</v>
      </c>
      <c r="D501" t="s">
        <v>1144</v>
      </c>
      <c r="E501" t="b">
        <f t="shared" si="8"/>
        <v>1</v>
      </c>
      <c r="F501" t="str">
        <f t="shared" si="9"/>
        <v>OK</v>
      </c>
      <c r="G501" t="s">
        <v>30</v>
      </c>
      <c r="H501" s="1">
        <v>0</v>
      </c>
      <c r="I501" t="s">
        <v>1106</v>
      </c>
      <c r="K501" t="s">
        <v>236</v>
      </c>
      <c r="M501" t="s">
        <v>236</v>
      </c>
      <c r="O501" t="s">
        <v>236</v>
      </c>
    </row>
    <row r="502" spans="1:15" x14ac:dyDescent="0.2">
      <c r="A502" t="s">
        <v>1100</v>
      </c>
      <c r="B502" t="s">
        <v>1101</v>
      </c>
      <c r="C502" t="s">
        <v>1152</v>
      </c>
      <c r="D502" t="s">
        <v>1131</v>
      </c>
      <c r="E502" t="b">
        <f t="shared" si="8"/>
        <v>1</v>
      </c>
      <c r="F502" t="str">
        <f t="shared" si="9"/>
        <v>OK</v>
      </c>
      <c r="G502" t="s">
        <v>30</v>
      </c>
      <c r="H502" s="1">
        <v>0</v>
      </c>
      <c r="I502" t="s">
        <v>1106</v>
      </c>
      <c r="K502" t="s">
        <v>236</v>
      </c>
      <c r="M502" t="s">
        <v>236</v>
      </c>
      <c r="O502" t="s">
        <v>236</v>
      </c>
    </row>
    <row r="503" spans="1:15" x14ac:dyDescent="0.2">
      <c r="A503" t="s">
        <v>1100</v>
      </c>
      <c r="B503" t="s">
        <v>1101</v>
      </c>
      <c r="C503" t="s">
        <v>1153</v>
      </c>
      <c r="D503" t="s">
        <v>1131</v>
      </c>
      <c r="E503" t="b">
        <f t="shared" si="8"/>
        <v>1</v>
      </c>
      <c r="F503" t="str">
        <f t="shared" si="9"/>
        <v>OK</v>
      </c>
      <c r="G503" t="s">
        <v>30</v>
      </c>
      <c r="H503" s="1">
        <v>0</v>
      </c>
      <c r="I503" t="s">
        <v>1106</v>
      </c>
      <c r="K503" t="s">
        <v>236</v>
      </c>
      <c r="M503" t="s">
        <v>236</v>
      </c>
      <c r="O503" t="s">
        <v>236</v>
      </c>
    </row>
    <row r="504" spans="1:15" x14ac:dyDescent="0.2">
      <c r="A504" t="s">
        <v>1100</v>
      </c>
      <c r="B504" t="s">
        <v>1101</v>
      </c>
      <c r="C504" t="s">
        <v>1154</v>
      </c>
      <c r="D504" t="s">
        <v>1131</v>
      </c>
      <c r="E504" t="b">
        <f t="shared" si="8"/>
        <v>1</v>
      </c>
      <c r="F504" t="str">
        <f t="shared" si="9"/>
        <v>OK</v>
      </c>
      <c r="G504" t="s">
        <v>30</v>
      </c>
      <c r="H504" s="1">
        <v>0</v>
      </c>
      <c r="I504" t="s">
        <v>1106</v>
      </c>
      <c r="K504" t="s">
        <v>236</v>
      </c>
      <c r="M504" t="s">
        <v>236</v>
      </c>
      <c r="O504" t="s">
        <v>236</v>
      </c>
    </row>
    <row r="505" spans="1:15" x14ac:dyDescent="0.2">
      <c r="A505" t="s">
        <v>1100</v>
      </c>
      <c r="B505" t="s">
        <v>1101</v>
      </c>
      <c r="C505" t="s">
        <v>1155</v>
      </c>
      <c r="D505" t="s">
        <v>1131</v>
      </c>
      <c r="E505" t="b">
        <f t="shared" si="8"/>
        <v>1</v>
      </c>
      <c r="F505" t="str">
        <f t="shared" si="9"/>
        <v>OK</v>
      </c>
      <c r="G505" t="s">
        <v>30</v>
      </c>
      <c r="H505" s="1">
        <v>0</v>
      </c>
      <c r="I505" t="s">
        <v>1104</v>
      </c>
      <c r="K505" t="s">
        <v>236</v>
      </c>
      <c r="M505" t="s">
        <v>236</v>
      </c>
      <c r="O505" t="s">
        <v>236</v>
      </c>
    </row>
    <row r="506" spans="1:15" x14ac:dyDescent="0.2">
      <c r="A506" t="s">
        <v>1100</v>
      </c>
      <c r="B506" t="s">
        <v>1101</v>
      </c>
      <c r="C506" t="s">
        <v>1156</v>
      </c>
      <c r="D506" t="s">
        <v>1131</v>
      </c>
      <c r="E506" t="b">
        <f t="shared" si="8"/>
        <v>1</v>
      </c>
      <c r="F506" t="str">
        <f t="shared" si="9"/>
        <v>OK</v>
      </c>
      <c r="G506" t="s">
        <v>30</v>
      </c>
      <c r="H506" s="1">
        <v>0</v>
      </c>
      <c r="I506" t="s">
        <v>1104</v>
      </c>
      <c r="K506" t="s">
        <v>236</v>
      </c>
      <c r="M506" t="s">
        <v>236</v>
      </c>
      <c r="O506" t="s">
        <v>236</v>
      </c>
    </row>
    <row r="507" spans="1:15" x14ac:dyDescent="0.2">
      <c r="A507" t="s">
        <v>1100</v>
      </c>
      <c r="B507" t="s">
        <v>1101</v>
      </c>
      <c r="C507" t="s">
        <v>1157</v>
      </c>
      <c r="D507" t="s">
        <v>1131</v>
      </c>
      <c r="E507" t="b">
        <f t="shared" si="8"/>
        <v>1</v>
      </c>
      <c r="F507" t="str">
        <f t="shared" si="9"/>
        <v>OK</v>
      </c>
      <c r="G507" t="s">
        <v>30</v>
      </c>
      <c r="H507" s="1">
        <v>0</v>
      </c>
      <c r="I507" t="s">
        <v>1104</v>
      </c>
      <c r="K507" t="s">
        <v>236</v>
      </c>
      <c r="M507" t="s">
        <v>236</v>
      </c>
      <c r="O507" t="s">
        <v>236</v>
      </c>
    </row>
    <row r="508" spans="1:15" x14ac:dyDescent="0.2">
      <c r="A508" t="s">
        <v>1100</v>
      </c>
      <c r="B508" t="s">
        <v>1101</v>
      </c>
      <c r="C508" t="s">
        <v>1158</v>
      </c>
      <c r="D508" t="s">
        <v>1131</v>
      </c>
      <c r="E508" t="b">
        <f t="shared" si="8"/>
        <v>1</v>
      </c>
      <c r="F508" t="str">
        <f t="shared" si="9"/>
        <v>OK</v>
      </c>
      <c r="G508" t="s">
        <v>30</v>
      </c>
      <c r="H508" s="1">
        <v>0</v>
      </c>
      <c r="I508" t="s">
        <v>1104</v>
      </c>
      <c r="K508" t="s">
        <v>236</v>
      </c>
      <c r="M508" t="s">
        <v>236</v>
      </c>
      <c r="O508" t="s">
        <v>236</v>
      </c>
    </row>
    <row r="509" spans="1:15" x14ac:dyDescent="0.2">
      <c r="A509" t="s">
        <v>1159</v>
      </c>
      <c r="B509" t="s">
        <v>1160</v>
      </c>
      <c r="C509" t="s">
        <v>1161</v>
      </c>
      <c r="D509" t="s">
        <v>1162</v>
      </c>
      <c r="E509" t="b">
        <f t="shared" si="8"/>
        <v>0</v>
      </c>
      <c r="F509" t="str">
        <f t="shared" si="9"/>
        <v>OK</v>
      </c>
      <c r="G509" t="s">
        <v>18</v>
      </c>
    </row>
    <row r="510" spans="1:15" x14ac:dyDescent="0.2">
      <c r="A510" t="s">
        <v>1159</v>
      </c>
      <c r="B510" t="s">
        <v>1160</v>
      </c>
      <c r="C510" t="s">
        <v>1163</v>
      </c>
      <c r="D510" t="s">
        <v>1164</v>
      </c>
      <c r="E510" t="b">
        <f t="shared" si="8"/>
        <v>0</v>
      </c>
      <c r="F510" t="str">
        <f t="shared" si="9"/>
        <v>OK</v>
      </c>
      <c r="G510" t="s">
        <v>18</v>
      </c>
    </row>
    <row r="511" spans="1:15" x14ac:dyDescent="0.2">
      <c r="A511" t="s">
        <v>1159</v>
      </c>
      <c r="B511" t="s">
        <v>1160</v>
      </c>
      <c r="C511" t="s">
        <v>1165</v>
      </c>
      <c r="D511" t="s">
        <v>1166</v>
      </c>
      <c r="E511" t="b">
        <f t="shared" si="8"/>
        <v>1</v>
      </c>
      <c r="F511" t="str">
        <f t="shared" si="9"/>
        <v>OK</v>
      </c>
      <c r="G511" t="s">
        <v>30</v>
      </c>
      <c r="H511" s="1">
        <v>0.1</v>
      </c>
      <c r="I511" t="s">
        <v>524</v>
      </c>
      <c r="J511" t="s">
        <v>703</v>
      </c>
      <c r="K511" t="s">
        <v>487</v>
      </c>
      <c r="M511" t="s">
        <v>236</v>
      </c>
      <c r="O511" t="s">
        <v>487</v>
      </c>
    </row>
    <row r="512" spans="1:15" x14ac:dyDescent="0.2">
      <c r="A512" t="s">
        <v>1159</v>
      </c>
      <c r="B512" t="s">
        <v>1160</v>
      </c>
      <c r="C512" t="s">
        <v>1167</v>
      </c>
      <c r="D512" t="s">
        <v>1168</v>
      </c>
      <c r="E512" t="b">
        <f t="shared" si="8"/>
        <v>1</v>
      </c>
      <c r="F512" t="str">
        <f t="shared" si="9"/>
        <v>OK</v>
      </c>
      <c r="G512" t="s">
        <v>30</v>
      </c>
      <c r="H512" s="1">
        <v>0.1</v>
      </c>
      <c r="I512" t="s">
        <v>564</v>
      </c>
      <c r="J512" t="s">
        <v>715</v>
      </c>
      <c r="K512" t="s">
        <v>487</v>
      </c>
      <c r="M512" t="s">
        <v>236</v>
      </c>
      <c r="O512" t="s">
        <v>487</v>
      </c>
    </row>
    <row r="513" spans="1:15" x14ac:dyDescent="0.2">
      <c r="A513" t="s">
        <v>1159</v>
      </c>
      <c r="B513" t="s">
        <v>1160</v>
      </c>
      <c r="C513" t="s">
        <v>1169</v>
      </c>
      <c r="D513" t="s">
        <v>1170</v>
      </c>
      <c r="E513" t="b">
        <f t="shared" si="8"/>
        <v>0</v>
      </c>
      <c r="F513" t="str">
        <f t="shared" si="9"/>
        <v>OK</v>
      </c>
      <c r="G513" t="s">
        <v>30</v>
      </c>
      <c r="H513" s="1">
        <v>0.45</v>
      </c>
      <c r="K513" t="s">
        <v>270</v>
      </c>
      <c r="M513" t="s">
        <v>270</v>
      </c>
      <c r="O513" t="s">
        <v>270</v>
      </c>
    </row>
    <row r="514" spans="1:15" x14ac:dyDescent="0.2">
      <c r="A514" t="s">
        <v>1159</v>
      </c>
      <c r="B514" t="s">
        <v>1160</v>
      </c>
      <c r="C514" t="s">
        <v>1171</v>
      </c>
      <c r="D514" t="s">
        <v>1172</v>
      </c>
      <c r="E514" t="b">
        <f t="shared" si="8"/>
        <v>1</v>
      </c>
      <c r="F514" t="str">
        <f t="shared" si="9"/>
        <v>OK</v>
      </c>
      <c r="G514" t="s">
        <v>18</v>
      </c>
      <c r="H514" s="1">
        <v>0</v>
      </c>
      <c r="I514" t="s">
        <v>1173</v>
      </c>
      <c r="K514" t="s">
        <v>236</v>
      </c>
      <c r="M514" t="s">
        <v>236</v>
      </c>
      <c r="O514" t="s">
        <v>236</v>
      </c>
    </row>
    <row r="515" spans="1:15" x14ac:dyDescent="0.2">
      <c r="A515" t="s">
        <v>1159</v>
      </c>
      <c r="B515" t="s">
        <v>1160</v>
      </c>
      <c r="C515" t="s">
        <v>1174</v>
      </c>
      <c r="D515" t="s">
        <v>1175</v>
      </c>
      <c r="E515" t="b">
        <f t="shared" si="8"/>
        <v>1</v>
      </c>
      <c r="F515" t="str">
        <f t="shared" si="9"/>
        <v>OK</v>
      </c>
      <c r="G515" t="s">
        <v>18</v>
      </c>
      <c r="H515" s="1">
        <v>0</v>
      </c>
      <c r="I515" t="s">
        <v>1173</v>
      </c>
      <c r="K515" t="s">
        <v>236</v>
      </c>
      <c r="M515" t="s">
        <v>236</v>
      </c>
      <c r="O515" t="s">
        <v>236</v>
      </c>
    </row>
    <row r="516" spans="1:15" x14ac:dyDescent="0.2">
      <c r="A516" t="s">
        <v>1159</v>
      </c>
      <c r="B516" t="s">
        <v>1160</v>
      </c>
      <c r="C516" t="s">
        <v>1176</v>
      </c>
      <c r="D516" t="s">
        <v>1177</v>
      </c>
      <c r="E516" t="b">
        <f t="shared" si="8"/>
        <v>1</v>
      </c>
      <c r="F516" t="str">
        <f t="shared" si="9"/>
        <v>OK</v>
      </c>
      <c r="G516" t="s">
        <v>30</v>
      </c>
    </row>
    <row r="517" spans="1:15" x14ac:dyDescent="0.2">
      <c r="A517" t="s">
        <v>1159</v>
      </c>
      <c r="B517" t="s">
        <v>1160</v>
      </c>
      <c r="C517" t="s">
        <v>1178</v>
      </c>
      <c r="D517" t="s">
        <v>1177</v>
      </c>
      <c r="E517" t="b">
        <f t="shared" si="8"/>
        <v>1</v>
      </c>
      <c r="F517" t="str">
        <f t="shared" si="9"/>
        <v>OK</v>
      </c>
      <c r="G517" t="s">
        <v>30</v>
      </c>
    </row>
    <row r="518" spans="1:15" x14ac:dyDescent="0.2">
      <c r="A518" t="s">
        <v>1159</v>
      </c>
      <c r="B518" t="s">
        <v>1160</v>
      </c>
      <c r="C518" t="s">
        <v>1179</v>
      </c>
      <c r="D518" t="s">
        <v>1180</v>
      </c>
      <c r="E518" t="b">
        <f t="shared" si="8"/>
        <v>0</v>
      </c>
      <c r="F518" t="str">
        <f t="shared" si="9"/>
        <v>OK</v>
      </c>
      <c r="G518" t="s">
        <v>18</v>
      </c>
    </row>
    <row r="519" spans="1:15" x14ac:dyDescent="0.2">
      <c r="A519" t="s">
        <v>1159</v>
      </c>
      <c r="B519" t="s">
        <v>1160</v>
      </c>
      <c r="C519" t="s">
        <v>1181</v>
      </c>
      <c r="D519" t="s">
        <v>1182</v>
      </c>
      <c r="E519" t="b">
        <f t="shared" si="8"/>
        <v>1</v>
      </c>
      <c r="F519" t="str">
        <f t="shared" si="9"/>
        <v>OK</v>
      </c>
      <c r="G519" t="s">
        <v>30</v>
      </c>
      <c r="H519" s="1">
        <v>0.05</v>
      </c>
      <c r="I519" t="s">
        <v>1173</v>
      </c>
      <c r="K519" t="s">
        <v>236</v>
      </c>
      <c r="M519" t="s">
        <v>236</v>
      </c>
      <c r="O519" t="s">
        <v>236</v>
      </c>
    </row>
    <row r="520" spans="1:15" x14ac:dyDescent="0.2">
      <c r="A520" t="s">
        <v>1159</v>
      </c>
      <c r="B520" t="s">
        <v>1183</v>
      </c>
      <c r="C520" t="s">
        <v>1184</v>
      </c>
      <c r="D520" t="s">
        <v>1185</v>
      </c>
      <c r="E520" t="b">
        <f t="shared" si="8"/>
        <v>0</v>
      </c>
      <c r="F520" t="str">
        <f t="shared" si="9"/>
        <v>OK</v>
      </c>
      <c r="G520" t="s">
        <v>18</v>
      </c>
      <c r="H520" s="1">
        <v>0</v>
      </c>
      <c r="I520" t="s">
        <v>1173</v>
      </c>
      <c r="K520" t="s">
        <v>236</v>
      </c>
      <c r="M520" t="s">
        <v>236</v>
      </c>
      <c r="O520" t="s">
        <v>236</v>
      </c>
    </row>
    <row r="521" spans="1:15" x14ac:dyDescent="0.2">
      <c r="A521" t="s">
        <v>1159</v>
      </c>
      <c r="B521" t="s">
        <v>1183</v>
      </c>
      <c r="C521" t="s">
        <v>1186</v>
      </c>
      <c r="D521" t="s">
        <v>1185</v>
      </c>
      <c r="E521" t="b">
        <f t="shared" si="8"/>
        <v>0</v>
      </c>
      <c r="F521" t="str">
        <f t="shared" si="9"/>
        <v>OK</v>
      </c>
      <c r="G521" t="s">
        <v>18</v>
      </c>
      <c r="H521" s="1">
        <v>0.05</v>
      </c>
      <c r="I521" t="s">
        <v>1187</v>
      </c>
      <c r="J521" t="s">
        <v>217</v>
      </c>
      <c r="K521" t="s">
        <v>236</v>
      </c>
      <c r="M521" t="s">
        <v>236</v>
      </c>
      <c r="O521" t="s">
        <v>236</v>
      </c>
    </row>
    <row r="522" spans="1:15" x14ac:dyDescent="0.2">
      <c r="A522" t="s">
        <v>1159</v>
      </c>
      <c r="B522" t="s">
        <v>1183</v>
      </c>
      <c r="C522" t="s">
        <v>1188</v>
      </c>
      <c r="D522" t="s">
        <v>1189</v>
      </c>
      <c r="E522" t="b">
        <f t="shared" si="8"/>
        <v>1</v>
      </c>
      <c r="F522" t="str">
        <f t="shared" si="9"/>
        <v>OK</v>
      </c>
      <c r="G522" t="s">
        <v>18</v>
      </c>
      <c r="H522" s="1">
        <v>0.5</v>
      </c>
      <c r="I522" t="s">
        <v>511</v>
      </c>
      <c r="K522" t="s">
        <v>270</v>
      </c>
      <c r="M522" t="s">
        <v>270</v>
      </c>
      <c r="O522" t="s">
        <v>487</v>
      </c>
    </row>
    <row r="523" spans="1:15" x14ac:dyDescent="0.2">
      <c r="A523" t="s">
        <v>1159</v>
      </c>
      <c r="B523" t="s">
        <v>1183</v>
      </c>
      <c r="C523" t="s">
        <v>1190</v>
      </c>
      <c r="D523" t="s">
        <v>1189</v>
      </c>
      <c r="E523" t="b">
        <f t="shared" si="8"/>
        <v>1</v>
      </c>
      <c r="F523" t="str">
        <f t="shared" si="9"/>
        <v>OK</v>
      </c>
      <c r="G523" t="s">
        <v>18</v>
      </c>
      <c r="H523" s="1">
        <v>0.5</v>
      </c>
      <c r="I523" t="s">
        <v>511</v>
      </c>
      <c r="K523" t="s">
        <v>270</v>
      </c>
      <c r="M523" t="s">
        <v>236</v>
      </c>
      <c r="O523" t="s">
        <v>487</v>
      </c>
    </row>
    <row r="524" spans="1:15" x14ac:dyDescent="0.2">
      <c r="A524" t="s">
        <v>1159</v>
      </c>
      <c r="B524" t="s">
        <v>1183</v>
      </c>
      <c r="C524" t="s">
        <v>1191</v>
      </c>
      <c r="D524" t="s">
        <v>1192</v>
      </c>
      <c r="E524" t="b">
        <f t="shared" si="8"/>
        <v>1</v>
      </c>
      <c r="F524" t="str">
        <f t="shared" si="9"/>
        <v>OK</v>
      </c>
      <c r="G524" t="s">
        <v>30</v>
      </c>
      <c r="H524" s="1">
        <v>0.05</v>
      </c>
      <c r="I524" t="s">
        <v>1173</v>
      </c>
      <c r="K524" t="s">
        <v>236</v>
      </c>
      <c r="M524" t="s">
        <v>236</v>
      </c>
      <c r="O524" t="s">
        <v>236</v>
      </c>
    </row>
    <row r="525" spans="1:15" x14ac:dyDescent="0.2">
      <c r="A525" t="s">
        <v>1159</v>
      </c>
      <c r="B525" t="s">
        <v>1183</v>
      </c>
      <c r="C525" t="s">
        <v>1191</v>
      </c>
      <c r="D525" t="s">
        <v>1192</v>
      </c>
      <c r="E525" t="b">
        <f t="shared" si="8"/>
        <v>1</v>
      </c>
      <c r="F525" t="str">
        <f t="shared" si="9"/>
        <v>OK</v>
      </c>
      <c r="G525" t="s">
        <v>30</v>
      </c>
      <c r="H525" s="1">
        <v>0.05</v>
      </c>
      <c r="I525" t="s">
        <v>1173</v>
      </c>
      <c r="K525" t="s">
        <v>236</v>
      </c>
      <c r="M525" t="s">
        <v>236</v>
      </c>
      <c r="O525" t="s">
        <v>236</v>
      </c>
    </row>
    <row r="526" spans="1:15" x14ac:dyDescent="0.2">
      <c r="A526" t="s">
        <v>1159</v>
      </c>
      <c r="B526" t="s">
        <v>1183</v>
      </c>
      <c r="C526" t="s">
        <v>1193</v>
      </c>
      <c r="D526" t="s">
        <v>1194</v>
      </c>
      <c r="E526" t="b">
        <f t="shared" si="8"/>
        <v>1</v>
      </c>
      <c r="F526" t="str">
        <f t="shared" si="9"/>
        <v>OK</v>
      </c>
      <c r="G526" t="s">
        <v>416</v>
      </c>
      <c r="H526" s="1">
        <v>0.4</v>
      </c>
      <c r="I526" t="s">
        <v>703</v>
      </c>
      <c r="K526" t="s">
        <v>270</v>
      </c>
      <c r="M526" t="s">
        <v>270</v>
      </c>
      <c r="O526" t="s">
        <v>236</v>
      </c>
    </row>
    <row r="527" spans="1:15" x14ac:dyDescent="0.2">
      <c r="A527" t="s">
        <v>1159</v>
      </c>
      <c r="B527" t="s">
        <v>1183</v>
      </c>
      <c r="C527" t="s">
        <v>1195</v>
      </c>
      <c r="D527" t="s">
        <v>1196</v>
      </c>
      <c r="E527" t="b">
        <f t="shared" si="8"/>
        <v>0</v>
      </c>
      <c r="F527" t="str">
        <f t="shared" si="9"/>
        <v>OK</v>
      </c>
      <c r="G527" t="s">
        <v>18</v>
      </c>
      <c r="H527" s="1">
        <v>0</v>
      </c>
      <c r="I527" t="s">
        <v>1197</v>
      </c>
      <c r="K527" t="s">
        <v>236</v>
      </c>
      <c r="M527" t="s">
        <v>236</v>
      </c>
      <c r="O527" t="s">
        <v>236</v>
      </c>
    </row>
    <row r="528" spans="1:15" x14ac:dyDescent="0.2">
      <c r="A528" t="s">
        <v>1159</v>
      </c>
      <c r="B528" t="s">
        <v>1183</v>
      </c>
      <c r="C528" t="s">
        <v>1198</v>
      </c>
      <c r="D528" t="s">
        <v>1199</v>
      </c>
      <c r="E528" t="b">
        <f t="shared" si="8"/>
        <v>1</v>
      </c>
      <c r="F528" t="str">
        <f t="shared" si="9"/>
        <v>OK</v>
      </c>
      <c r="G528" t="s">
        <v>18</v>
      </c>
      <c r="H528" s="1">
        <v>0.15</v>
      </c>
      <c r="I528" t="s">
        <v>1200</v>
      </c>
      <c r="K528" t="s">
        <v>487</v>
      </c>
      <c r="M528" t="s">
        <v>487</v>
      </c>
      <c r="O528" t="s">
        <v>487</v>
      </c>
    </row>
    <row r="529" spans="1:15" x14ac:dyDescent="0.2">
      <c r="A529" t="s">
        <v>1159</v>
      </c>
      <c r="B529" t="s">
        <v>1183</v>
      </c>
      <c r="C529" t="s">
        <v>1201</v>
      </c>
      <c r="D529" t="s">
        <v>1652</v>
      </c>
      <c r="E529" t="b">
        <f t="shared" ref="E529:E592" si="10">COUNTIF(R:R,D529)&gt;0</f>
        <v>1</v>
      </c>
      <c r="F529" t="str">
        <f t="shared" ref="F529:F592" si="11">IF(COUNTIF(C529,"*hybrid*")&gt;0,
     IF(COUNTIF(D529,"*hybrid*")&gt;0,"OK","Mismatch"),
     "OK")</f>
        <v>OK</v>
      </c>
      <c r="G529" t="s">
        <v>18</v>
      </c>
      <c r="H529" s="1">
        <v>0.3</v>
      </c>
      <c r="I529" t="s">
        <v>1202</v>
      </c>
      <c r="K529" t="s">
        <v>270</v>
      </c>
      <c r="M529" t="s">
        <v>236</v>
      </c>
      <c r="O529" t="s">
        <v>236</v>
      </c>
    </row>
    <row r="530" spans="1:15" x14ac:dyDescent="0.2">
      <c r="A530" t="s">
        <v>1159</v>
      </c>
      <c r="B530" t="s">
        <v>1183</v>
      </c>
      <c r="C530" t="s">
        <v>1203</v>
      </c>
      <c r="D530" t="s">
        <v>1204</v>
      </c>
      <c r="E530" t="b">
        <f t="shared" si="10"/>
        <v>1</v>
      </c>
      <c r="F530" t="str">
        <f t="shared" si="11"/>
        <v>OK</v>
      </c>
      <c r="G530" t="s">
        <v>18</v>
      </c>
      <c r="H530" s="1">
        <v>0.5</v>
      </c>
      <c r="I530" t="s">
        <v>511</v>
      </c>
      <c r="K530" t="s">
        <v>270</v>
      </c>
      <c r="M530" t="s">
        <v>270</v>
      </c>
      <c r="O530" t="s">
        <v>487</v>
      </c>
    </row>
    <row r="531" spans="1:15" x14ac:dyDescent="0.2">
      <c r="A531" t="s">
        <v>1159</v>
      </c>
      <c r="B531" t="s">
        <v>1183</v>
      </c>
      <c r="C531" t="s">
        <v>1205</v>
      </c>
      <c r="D531" t="s">
        <v>1206</v>
      </c>
      <c r="E531" t="b">
        <f t="shared" si="10"/>
        <v>1</v>
      </c>
      <c r="F531" t="str">
        <f t="shared" si="11"/>
        <v>OK</v>
      </c>
      <c r="G531" t="s">
        <v>30</v>
      </c>
      <c r="H531" s="1">
        <v>0.55000000000000004</v>
      </c>
      <c r="K531" t="s">
        <v>270</v>
      </c>
      <c r="M531" t="s">
        <v>270</v>
      </c>
      <c r="O531" t="s">
        <v>487</v>
      </c>
    </row>
    <row r="532" spans="1:15" x14ac:dyDescent="0.2">
      <c r="A532" t="s">
        <v>1159</v>
      </c>
      <c r="B532" t="s">
        <v>1183</v>
      </c>
      <c r="C532" t="s">
        <v>1207</v>
      </c>
      <c r="D532" t="s">
        <v>1206</v>
      </c>
      <c r="E532" t="b">
        <f t="shared" si="10"/>
        <v>1</v>
      </c>
      <c r="F532" t="str">
        <f t="shared" si="11"/>
        <v>OK</v>
      </c>
      <c r="G532" t="s">
        <v>30</v>
      </c>
    </row>
    <row r="533" spans="1:15" x14ac:dyDescent="0.2">
      <c r="A533" t="s">
        <v>1159</v>
      </c>
      <c r="B533" t="s">
        <v>1183</v>
      </c>
      <c r="C533" t="s">
        <v>1208</v>
      </c>
      <c r="D533" t="s">
        <v>1209</v>
      </c>
      <c r="E533" t="b">
        <f t="shared" si="10"/>
        <v>0</v>
      </c>
      <c r="F533" t="str">
        <f t="shared" si="11"/>
        <v>OK</v>
      </c>
      <c r="G533" t="s">
        <v>416</v>
      </c>
      <c r="H533" s="1">
        <v>0.2</v>
      </c>
      <c r="I533" t="s">
        <v>564</v>
      </c>
      <c r="J533" t="s">
        <v>694</v>
      </c>
      <c r="K533" t="s">
        <v>487</v>
      </c>
      <c r="M533" t="s">
        <v>487</v>
      </c>
      <c r="O533" t="s">
        <v>487</v>
      </c>
    </row>
    <row r="534" spans="1:15" x14ac:dyDescent="0.2">
      <c r="A534" t="s">
        <v>1159</v>
      </c>
      <c r="B534" t="s">
        <v>1183</v>
      </c>
      <c r="C534" t="s">
        <v>1210</v>
      </c>
      <c r="D534" t="s">
        <v>1209</v>
      </c>
      <c r="E534" t="b">
        <f t="shared" si="10"/>
        <v>0</v>
      </c>
      <c r="F534" t="str">
        <f t="shared" si="11"/>
        <v>OK</v>
      </c>
      <c r="G534" t="s">
        <v>30</v>
      </c>
    </row>
    <row r="535" spans="1:15" x14ac:dyDescent="0.2">
      <c r="A535" t="s">
        <v>1159</v>
      </c>
      <c r="B535" t="s">
        <v>1183</v>
      </c>
      <c r="C535" t="s">
        <v>1211</v>
      </c>
      <c r="D535" t="s">
        <v>1212</v>
      </c>
      <c r="E535" t="b">
        <f t="shared" si="10"/>
        <v>1</v>
      </c>
      <c r="F535" t="str">
        <f t="shared" si="11"/>
        <v>OK</v>
      </c>
      <c r="G535" t="s">
        <v>30</v>
      </c>
      <c r="H535" s="1">
        <v>0.5</v>
      </c>
      <c r="K535" t="s">
        <v>270</v>
      </c>
      <c r="M535" t="s">
        <v>270</v>
      </c>
      <c r="O535" t="s">
        <v>487</v>
      </c>
    </row>
    <row r="536" spans="1:15" x14ac:dyDescent="0.2">
      <c r="A536" t="s">
        <v>1159</v>
      </c>
      <c r="B536" t="s">
        <v>1183</v>
      </c>
      <c r="C536" t="s">
        <v>1213</v>
      </c>
      <c r="D536" t="s">
        <v>1212</v>
      </c>
      <c r="E536" t="b">
        <f t="shared" si="10"/>
        <v>1</v>
      </c>
      <c r="F536" t="str">
        <f t="shared" si="11"/>
        <v>OK</v>
      </c>
      <c r="G536" t="s">
        <v>30</v>
      </c>
    </row>
    <row r="537" spans="1:15" x14ac:dyDescent="0.2">
      <c r="A537" t="s">
        <v>1159</v>
      </c>
      <c r="B537" t="s">
        <v>1183</v>
      </c>
      <c r="C537" t="s">
        <v>1214</v>
      </c>
      <c r="D537" t="s">
        <v>1215</v>
      </c>
      <c r="E537" t="b">
        <f t="shared" si="10"/>
        <v>0</v>
      </c>
      <c r="F537" t="str">
        <f t="shared" si="11"/>
        <v>OK</v>
      </c>
      <c r="G537" t="s">
        <v>30</v>
      </c>
    </row>
    <row r="538" spans="1:15" x14ac:dyDescent="0.2">
      <c r="A538" t="s">
        <v>1159</v>
      </c>
      <c r="B538" t="s">
        <v>1183</v>
      </c>
      <c r="C538" t="s">
        <v>1216</v>
      </c>
      <c r="D538" t="s">
        <v>1217</v>
      </c>
      <c r="E538" t="b">
        <f t="shared" si="10"/>
        <v>1</v>
      </c>
      <c r="F538" t="str">
        <f t="shared" si="11"/>
        <v>OK</v>
      </c>
      <c r="G538" t="s">
        <v>30</v>
      </c>
      <c r="H538" s="1">
        <v>0</v>
      </c>
      <c r="I538" t="s">
        <v>1173</v>
      </c>
      <c r="K538" t="s">
        <v>236</v>
      </c>
      <c r="M538" t="s">
        <v>236</v>
      </c>
      <c r="O538" t="s">
        <v>487</v>
      </c>
    </row>
    <row r="539" spans="1:15" x14ac:dyDescent="0.2">
      <c r="A539" t="s">
        <v>1159</v>
      </c>
      <c r="B539" t="s">
        <v>1183</v>
      </c>
      <c r="C539" t="s">
        <v>1218</v>
      </c>
      <c r="D539" t="s">
        <v>1219</v>
      </c>
      <c r="E539" t="b">
        <f t="shared" si="10"/>
        <v>1</v>
      </c>
      <c r="F539" t="str">
        <f t="shared" si="11"/>
        <v>OK</v>
      </c>
      <c r="G539" t="s">
        <v>30</v>
      </c>
      <c r="H539" s="1">
        <v>0.3</v>
      </c>
      <c r="I539" t="s">
        <v>1220</v>
      </c>
      <c r="J539" t="s">
        <v>55</v>
      </c>
      <c r="K539" t="s">
        <v>270</v>
      </c>
      <c r="M539" t="s">
        <v>236</v>
      </c>
      <c r="O539" t="s">
        <v>487</v>
      </c>
    </row>
    <row r="540" spans="1:15" x14ac:dyDescent="0.2">
      <c r="A540" t="s">
        <v>1159</v>
      </c>
      <c r="B540" t="s">
        <v>1183</v>
      </c>
      <c r="C540" t="s">
        <v>1218</v>
      </c>
      <c r="D540" t="s">
        <v>1219</v>
      </c>
      <c r="E540" t="b">
        <f t="shared" si="10"/>
        <v>1</v>
      </c>
      <c r="F540" t="str">
        <f t="shared" si="11"/>
        <v>OK</v>
      </c>
      <c r="G540" t="s">
        <v>30</v>
      </c>
      <c r="H540" s="1">
        <v>0.3</v>
      </c>
      <c r="I540" t="s">
        <v>1220</v>
      </c>
      <c r="J540" t="s">
        <v>55</v>
      </c>
      <c r="K540" t="s">
        <v>236</v>
      </c>
      <c r="M540" t="s">
        <v>236</v>
      </c>
      <c r="O540" t="s">
        <v>236</v>
      </c>
    </row>
    <row r="541" spans="1:15" x14ac:dyDescent="0.2">
      <c r="A541" t="s">
        <v>1159</v>
      </c>
      <c r="B541" t="s">
        <v>1183</v>
      </c>
      <c r="C541" t="s">
        <v>1218</v>
      </c>
      <c r="D541" t="s">
        <v>1219</v>
      </c>
      <c r="E541" t="b">
        <f t="shared" si="10"/>
        <v>1</v>
      </c>
      <c r="F541" t="str">
        <f t="shared" si="11"/>
        <v>OK</v>
      </c>
      <c r="G541" t="s">
        <v>30</v>
      </c>
      <c r="H541" s="1">
        <v>0.3</v>
      </c>
      <c r="I541" t="s">
        <v>1220</v>
      </c>
      <c r="K541" t="s">
        <v>270</v>
      </c>
      <c r="M541" t="s">
        <v>236</v>
      </c>
      <c r="O541" t="s">
        <v>236</v>
      </c>
    </row>
    <row r="542" spans="1:15" x14ac:dyDescent="0.2">
      <c r="A542" t="s">
        <v>1159</v>
      </c>
      <c r="B542" t="s">
        <v>1183</v>
      </c>
      <c r="C542" t="s">
        <v>1221</v>
      </c>
      <c r="D542" t="s">
        <v>1222</v>
      </c>
      <c r="E542" t="b">
        <f t="shared" si="10"/>
        <v>1</v>
      </c>
      <c r="F542" t="str">
        <f t="shared" si="11"/>
        <v>OK</v>
      </c>
      <c r="G542" t="s">
        <v>18</v>
      </c>
      <c r="H542" s="1">
        <v>0.15</v>
      </c>
      <c r="I542" t="s">
        <v>564</v>
      </c>
      <c r="J542" t="s">
        <v>55</v>
      </c>
      <c r="K542" t="s">
        <v>487</v>
      </c>
      <c r="M542" t="s">
        <v>236</v>
      </c>
      <c r="O542" t="s">
        <v>487</v>
      </c>
    </row>
    <row r="543" spans="1:15" x14ac:dyDescent="0.2">
      <c r="A543" t="s">
        <v>1159</v>
      </c>
      <c r="B543" t="s">
        <v>1183</v>
      </c>
      <c r="C543" t="s">
        <v>1221</v>
      </c>
      <c r="D543" t="s">
        <v>1222</v>
      </c>
      <c r="E543" t="b">
        <f t="shared" si="10"/>
        <v>1</v>
      </c>
      <c r="F543" t="str">
        <f t="shared" si="11"/>
        <v>OK</v>
      </c>
      <c r="G543" t="s">
        <v>18</v>
      </c>
    </row>
    <row r="544" spans="1:15" x14ac:dyDescent="0.2">
      <c r="A544" t="s">
        <v>1159</v>
      </c>
      <c r="B544" t="s">
        <v>1183</v>
      </c>
      <c r="C544" t="s">
        <v>1223</v>
      </c>
      <c r="D544" t="s">
        <v>1222</v>
      </c>
      <c r="E544" t="b">
        <f t="shared" si="10"/>
        <v>1</v>
      </c>
      <c r="F544" t="str">
        <f t="shared" si="11"/>
        <v>OK</v>
      </c>
      <c r="G544" t="s">
        <v>18</v>
      </c>
    </row>
    <row r="545" spans="1:15" x14ac:dyDescent="0.2">
      <c r="A545" t="s">
        <v>1159</v>
      </c>
      <c r="B545" t="s">
        <v>1183</v>
      </c>
      <c r="C545" t="s">
        <v>1223</v>
      </c>
      <c r="D545" t="s">
        <v>1222</v>
      </c>
      <c r="E545" t="b">
        <f t="shared" si="10"/>
        <v>1</v>
      </c>
      <c r="F545" t="str">
        <f t="shared" si="11"/>
        <v>OK</v>
      </c>
      <c r="G545" t="s">
        <v>18</v>
      </c>
    </row>
    <row r="546" spans="1:15" x14ac:dyDescent="0.2">
      <c r="A546" t="s">
        <v>1159</v>
      </c>
      <c r="B546" t="s">
        <v>1183</v>
      </c>
      <c r="C546" t="s">
        <v>1224</v>
      </c>
      <c r="D546" t="s">
        <v>1225</v>
      </c>
      <c r="E546" t="b">
        <f t="shared" si="10"/>
        <v>1</v>
      </c>
      <c r="F546" t="str">
        <f t="shared" si="11"/>
        <v>OK</v>
      </c>
      <c r="G546" t="s">
        <v>416</v>
      </c>
      <c r="H546" s="1">
        <v>0.5</v>
      </c>
      <c r="I546" t="s">
        <v>715</v>
      </c>
      <c r="K546" t="s">
        <v>270</v>
      </c>
      <c r="M546" t="s">
        <v>270</v>
      </c>
      <c r="O546" t="s">
        <v>236</v>
      </c>
    </row>
    <row r="547" spans="1:15" x14ac:dyDescent="0.2">
      <c r="A547" t="s">
        <v>1159</v>
      </c>
      <c r="B547" t="s">
        <v>1183</v>
      </c>
      <c r="C547" t="s">
        <v>1226</v>
      </c>
      <c r="D547" t="s">
        <v>1227</v>
      </c>
      <c r="E547" t="b">
        <f t="shared" si="10"/>
        <v>1</v>
      </c>
      <c r="F547" t="str">
        <f t="shared" si="11"/>
        <v>OK</v>
      </c>
      <c r="G547" t="s">
        <v>18</v>
      </c>
    </row>
    <row r="548" spans="1:15" x14ac:dyDescent="0.2">
      <c r="A548" t="s">
        <v>1159</v>
      </c>
      <c r="B548" t="s">
        <v>1183</v>
      </c>
      <c r="C548" t="s">
        <v>1228</v>
      </c>
      <c r="D548" t="s">
        <v>1227</v>
      </c>
      <c r="E548" t="b">
        <f t="shared" si="10"/>
        <v>1</v>
      </c>
      <c r="F548" t="str">
        <f t="shared" si="11"/>
        <v>OK</v>
      </c>
      <c r="G548" t="s">
        <v>18</v>
      </c>
      <c r="H548" s="1">
        <v>0.2</v>
      </c>
      <c r="I548" t="s">
        <v>1200</v>
      </c>
      <c r="K548" t="s">
        <v>487</v>
      </c>
      <c r="M548" t="s">
        <v>487</v>
      </c>
      <c r="O548" t="s">
        <v>487</v>
      </c>
    </row>
    <row r="549" spans="1:15" x14ac:dyDescent="0.2">
      <c r="A549" t="s">
        <v>1159</v>
      </c>
      <c r="B549" t="s">
        <v>1183</v>
      </c>
      <c r="C549" t="s">
        <v>1228</v>
      </c>
      <c r="D549" t="s">
        <v>1227</v>
      </c>
      <c r="E549" t="b">
        <f t="shared" si="10"/>
        <v>1</v>
      </c>
      <c r="F549" t="str">
        <f t="shared" si="11"/>
        <v>OK</v>
      </c>
      <c r="G549" t="s">
        <v>18</v>
      </c>
      <c r="H549" s="1">
        <v>0.2</v>
      </c>
      <c r="I549" t="s">
        <v>1200</v>
      </c>
      <c r="K549" t="s">
        <v>487</v>
      </c>
      <c r="M549" t="s">
        <v>487</v>
      </c>
      <c r="O549" t="s">
        <v>546</v>
      </c>
    </row>
    <row r="550" spans="1:15" x14ac:dyDescent="0.2">
      <c r="A550" t="s">
        <v>1159</v>
      </c>
      <c r="B550" t="s">
        <v>1183</v>
      </c>
      <c r="C550" t="s">
        <v>1228</v>
      </c>
      <c r="D550" t="s">
        <v>1227</v>
      </c>
      <c r="E550" t="b">
        <f t="shared" si="10"/>
        <v>1</v>
      </c>
      <c r="F550" t="str">
        <f t="shared" si="11"/>
        <v>OK</v>
      </c>
      <c r="G550" t="s">
        <v>18</v>
      </c>
    </row>
    <row r="551" spans="1:15" x14ac:dyDescent="0.2">
      <c r="A551" t="s">
        <v>1229</v>
      </c>
      <c r="B551" t="s">
        <v>1229</v>
      </c>
      <c r="C551" t="s">
        <v>1230</v>
      </c>
      <c r="D551" t="s">
        <v>1719</v>
      </c>
      <c r="E551" t="b">
        <f t="shared" si="10"/>
        <v>0</v>
      </c>
      <c r="F551" t="str">
        <f t="shared" si="11"/>
        <v>OK</v>
      </c>
      <c r="G551" t="s">
        <v>18</v>
      </c>
      <c r="H551" s="1">
        <v>0.01</v>
      </c>
      <c r="I551" t="s">
        <v>1231</v>
      </c>
      <c r="J551" t="s">
        <v>1232</v>
      </c>
      <c r="K551" t="s">
        <v>541</v>
      </c>
      <c r="M551" t="s">
        <v>1233</v>
      </c>
      <c r="O551" t="s">
        <v>135</v>
      </c>
    </row>
    <row r="552" spans="1:15" x14ac:dyDescent="0.2">
      <c r="A552" t="s">
        <v>1229</v>
      </c>
      <c r="B552" t="s">
        <v>1229</v>
      </c>
      <c r="C552" t="s">
        <v>1234</v>
      </c>
      <c r="D552" t="s">
        <v>1643</v>
      </c>
      <c r="E552" t="b">
        <f t="shared" si="10"/>
        <v>1</v>
      </c>
      <c r="F552" t="str">
        <f t="shared" si="11"/>
        <v>OK</v>
      </c>
      <c r="G552" t="s">
        <v>18</v>
      </c>
      <c r="H552" s="1">
        <v>0.01</v>
      </c>
      <c r="I552" t="s">
        <v>1235</v>
      </c>
      <c r="J552" t="s">
        <v>1236</v>
      </c>
      <c r="K552" t="s">
        <v>541</v>
      </c>
      <c r="M552" t="s">
        <v>541</v>
      </c>
      <c r="O552" t="s">
        <v>541</v>
      </c>
    </row>
    <row r="553" spans="1:15" x14ac:dyDescent="0.2">
      <c r="A553" t="s">
        <v>1229</v>
      </c>
      <c r="B553" t="s">
        <v>1229</v>
      </c>
      <c r="C553" t="s">
        <v>1237</v>
      </c>
      <c r="D553" t="s">
        <v>1643</v>
      </c>
      <c r="E553" t="b">
        <f t="shared" si="10"/>
        <v>1</v>
      </c>
      <c r="F553" t="str">
        <f t="shared" si="11"/>
        <v>OK</v>
      </c>
      <c r="G553" t="s">
        <v>18</v>
      </c>
      <c r="H553" s="1">
        <v>0.01</v>
      </c>
      <c r="I553" t="s">
        <v>1235</v>
      </c>
      <c r="J553" t="s">
        <v>1236</v>
      </c>
      <c r="K553" t="s">
        <v>541</v>
      </c>
      <c r="M553" t="s">
        <v>541</v>
      </c>
      <c r="O553" t="s">
        <v>541</v>
      </c>
    </row>
    <row r="554" spans="1:15" ht="34" x14ac:dyDescent="0.2">
      <c r="A554" t="s">
        <v>1238</v>
      </c>
      <c r="B554" t="s">
        <v>1239</v>
      </c>
      <c r="C554" t="s">
        <v>1240</v>
      </c>
      <c r="D554" t="s">
        <v>1241</v>
      </c>
      <c r="E554" t="b">
        <f t="shared" si="10"/>
        <v>1</v>
      </c>
      <c r="F554" t="str">
        <f t="shared" si="11"/>
        <v>OK</v>
      </c>
      <c r="G554" t="s">
        <v>30</v>
      </c>
      <c r="H554" s="1">
        <v>0</v>
      </c>
      <c r="I554" t="s">
        <v>1242</v>
      </c>
      <c r="K554" s="2" t="s">
        <v>1243</v>
      </c>
      <c r="M554" t="s">
        <v>35</v>
      </c>
      <c r="O554" t="s">
        <v>72</v>
      </c>
    </row>
    <row r="555" spans="1:15" ht="34" x14ac:dyDescent="0.2">
      <c r="A555" t="s">
        <v>1238</v>
      </c>
      <c r="B555" t="s">
        <v>1239</v>
      </c>
      <c r="C555" t="s">
        <v>1244</v>
      </c>
      <c r="D555" t="s">
        <v>1241</v>
      </c>
      <c r="E555" t="b">
        <f t="shared" si="10"/>
        <v>1</v>
      </c>
      <c r="F555" t="str">
        <f t="shared" si="11"/>
        <v>OK</v>
      </c>
      <c r="G555" t="s">
        <v>30</v>
      </c>
      <c r="H555" s="1">
        <v>0</v>
      </c>
      <c r="I555" t="s">
        <v>1245</v>
      </c>
      <c r="J555" t="s">
        <v>1246</v>
      </c>
      <c r="K555" s="2" t="s">
        <v>1247</v>
      </c>
      <c r="M555" t="s">
        <v>35</v>
      </c>
      <c r="O555" t="s">
        <v>72</v>
      </c>
    </row>
    <row r="556" spans="1:15" ht="34" x14ac:dyDescent="0.2">
      <c r="A556" t="s">
        <v>1238</v>
      </c>
      <c r="B556" t="s">
        <v>1239</v>
      </c>
      <c r="C556" t="s">
        <v>1248</v>
      </c>
      <c r="D556" t="s">
        <v>1241</v>
      </c>
      <c r="E556" t="b">
        <f t="shared" si="10"/>
        <v>1</v>
      </c>
      <c r="F556" t="str">
        <f t="shared" si="11"/>
        <v>OK</v>
      </c>
      <c r="G556" t="s">
        <v>30</v>
      </c>
      <c r="H556" s="1">
        <v>0</v>
      </c>
      <c r="I556" t="s">
        <v>1249</v>
      </c>
      <c r="J556" t="s">
        <v>55</v>
      </c>
      <c r="K556" s="2" t="s">
        <v>1247</v>
      </c>
      <c r="M556" t="s">
        <v>35</v>
      </c>
      <c r="O556" t="s">
        <v>72</v>
      </c>
    </row>
    <row r="557" spans="1:15" ht="34" x14ac:dyDescent="0.2">
      <c r="A557" t="s">
        <v>1238</v>
      </c>
      <c r="B557" t="s">
        <v>1239</v>
      </c>
      <c r="C557" t="s">
        <v>1250</v>
      </c>
      <c r="D557" t="s">
        <v>1241</v>
      </c>
      <c r="E557" t="b">
        <f t="shared" si="10"/>
        <v>1</v>
      </c>
      <c r="F557" t="str">
        <f t="shared" si="11"/>
        <v>OK</v>
      </c>
      <c r="G557" t="s">
        <v>30</v>
      </c>
      <c r="H557" s="1">
        <v>0</v>
      </c>
      <c r="I557" t="s">
        <v>1251</v>
      </c>
      <c r="J557" t="s">
        <v>55</v>
      </c>
      <c r="K557" s="2" t="s">
        <v>1247</v>
      </c>
      <c r="M557" t="s">
        <v>35</v>
      </c>
      <c r="O557" t="s">
        <v>72</v>
      </c>
    </row>
    <row r="558" spans="1:15" ht="34" x14ac:dyDescent="0.2">
      <c r="A558" t="s">
        <v>1238</v>
      </c>
      <c r="B558" t="s">
        <v>1239</v>
      </c>
      <c r="C558" t="s">
        <v>1252</v>
      </c>
      <c r="D558" t="s">
        <v>1253</v>
      </c>
      <c r="E558" t="b">
        <f t="shared" si="10"/>
        <v>1</v>
      </c>
      <c r="F558" t="str">
        <f t="shared" si="11"/>
        <v>OK</v>
      </c>
      <c r="G558" t="s">
        <v>30</v>
      </c>
      <c r="H558" s="1">
        <v>0</v>
      </c>
      <c r="I558" t="s">
        <v>1254</v>
      </c>
      <c r="J558" t="s">
        <v>1255</v>
      </c>
      <c r="K558" s="2" t="s">
        <v>1256</v>
      </c>
      <c r="M558" t="s">
        <v>35</v>
      </c>
      <c r="O558" t="s">
        <v>72</v>
      </c>
    </row>
    <row r="559" spans="1:15" ht="34" x14ac:dyDescent="0.2">
      <c r="A559" t="s">
        <v>1238</v>
      </c>
      <c r="B559" t="s">
        <v>1239</v>
      </c>
      <c r="C559" t="s">
        <v>1257</v>
      </c>
      <c r="D559" t="s">
        <v>1253</v>
      </c>
      <c r="E559" t="b">
        <f t="shared" si="10"/>
        <v>1</v>
      </c>
      <c r="F559" t="str">
        <f t="shared" si="11"/>
        <v>OK</v>
      </c>
      <c r="G559" t="s">
        <v>30</v>
      </c>
      <c r="H559" s="1">
        <v>0</v>
      </c>
      <c r="I559" t="s">
        <v>1258</v>
      </c>
      <c r="J559" t="s">
        <v>1259</v>
      </c>
      <c r="K559" s="2" t="s">
        <v>1256</v>
      </c>
      <c r="M559" t="s">
        <v>35</v>
      </c>
      <c r="O559" t="s">
        <v>72</v>
      </c>
    </row>
    <row r="560" spans="1:15" ht="34" x14ac:dyDescent="0.2">
      <c r="A560" t="s">
        <v>1238</v>
      </c>
      <c r="B560" t="s">
        <v>1239</v>
      </c>
      <c r="C560" t="s">
        <v>1260</v>
      </c>
      <c r="D560" t="s">
        <v>1253</v>
      </c>
      <c r="E560" t="b">
        <f t="shared" si="10"/>
        <v>1</v>
      </c>
      <c r="F560" t="str">
        <f t="shared" si="11"/>
        <v>OK</v>
      </c>
      <c r="G560" t="s">
        <v>30</v>
      </c>
      <c r="H560" s="1">
        <v>0</v>
      </c>
      <c r="I560" t="s">
        <v>1258</v>
      </c>
      <c r="J560" t="s">
        <v>1261</v>
      </c>
      <c r="K560" s="2" t="s">
        <v>1256</v>
      </c>
      <c r="M560" t="s">
        <v>35</v>
      </c>
      <c r="O560" t="s">
        <v>72</v>
      </c>
    </row>
    <row r="561" spans="1:15" ht="34" x14ac:dyDescent="0.2">
      <c r="A561" t="s">
        <v>1238</v>
      </c>
      <c r="B561" t="s">
        <v>1239</v>
      </c>
      <c r="C561" t="s">
        <v>1262</v>
      </c>
      <c r="D561" t="s">
        <v>1253</v>
      </c>
      <c r="E561" t="b">
        <f t="shared" si="10"/>
        <v>1</v>
      </c>
      <c r="F561" t="str">
        <f t="shared" si="11"/>
        <v>OK</v>
      </c>
      <c r="G561" t="s">
        <v>30</v>
      </c>
      <c r="H561" s="1">
        <v>0</v>
      </c>
      <c r="I561" t="s">
        <v>1263</v>
      </c>
      <c r="J561" t="s">
        <v>1259</v>
      </c>
      <c r="K561" s="2" t="s">
        <v>1256</v>
      </c>
      <c r="M561" t="s">
        <v>35</v>
      </c>
      <c r="O561" t="s">
        <v>72</v>
      </c>
    </row>
    <row r="562" spans="1:15" ht="34" x14ac:dyDescent="0.2">
      <c r="A562" t="s">
        <v>1238</v>
      </c>
      <c r="B562" t="s">
        <v>1239</v>
      </c>
      <c r="C562" t="s">
        <v>1264</v>
      </c>
      <c r="D562" t="s">
        <v>1253</v>
      </c>
      <c r="E562" t="b">
        <f t="shared" si="10"/>
        <v>1</v>
      </c>
      <c r="F562" t="str">
        <f t="shared" si="11"/>
        <v>OK</v>
      </c>
      <c r="G562" t="s">
        <v>30</v>
      </c>
      <c r="H562" s="1">
        <v>0</v>
      </c>
      <c r="I562" t="s">
        <v>1265</v>
      </c>
      <c r="J562" t="s">
        <v>1266</v>
      </c>
      <c r="K562" s="2" t="s">
        <v>1256</v>
      </c>
      <c r="M562" t="s">
        <v>35</v>
      </c>
      <c r="O562" t="s">
        <v>72</v>
      </c>
    </row>
    <row r="563" spans="1:15" ht="34" x14ac:dyDescent="0.2">
      <c r="A563" t="s">
        <v>1238</v>
      </c>
      <c r="B563" t="s">
        <v>1239</v>
      </c>
      <c r="C563" t="s">
        <v>1267</v>
      </c>
      <c r="D563" t="s">
        <v>1253</v>
      </c>
      <c r="E563" t="b">
        <f t="shared" si="10"/>
        <v>1</v>
      </c>
      <c r="F563" t="str">
        <f t="shared" si="11"/>
        <v>OK</v>
      </c>
      <c r="G563" t="s">
        <v>30</v>
      </c>
      <c r="H563" s="1">
        <v>0</v>
      </c>
      <c r="I563" t="s">
        <v>1268</v>
      </c>
      <c r="J563" t="s">
        <v>1269</v>
      </c>
      <c r="K563" s="2" t="s">
        <v>1256</v>
      </c>
      <c r="M563" t="s">
        <v>35</v>
      </c>
      <c r="O563" t="s">
        <v>72</v>
      </c>
    </row>
    <row r="564" spans="1:15" ht="34" x14ac:dyDescent="0.2">
      <c r="A564" t="s">
        <v>1238</v>
      </c>
      <c r="B564" t="s">
        <v>1239</v>
      </c>
      <c r="C564" t="s">
        <v>1270</v>
      </c>
      <c r="D564" t="s">
        <v>1253</v>
      </c>
      <c r="E564" t="b">
        <f t="shared" si="10"/>
        <v>1</v>
      </c>
      <c r="F564" t="str">
        <f t="shared" si="11"/>
        <v>OK</v>
      </c>
      <c r="G564" t="s">
        <v>30</v>
      </c>
      <c r="H564" s="1">
        <v>0.01</v>
      </c>
      <c r="I564" t="s">
        <v>1271</v>
      </c>
      <c r="J564" t="s">
        <v>1259</v>
      </c>
      <c r="K564" s="2" t="s">
        <v>1256</v>
      </c>
      <c r="M564" t="s">
        <v>22</v>
      </c>
      <c r="O564" t="s">
        <v>72</v>
      </c>
    </row>
    <row r="565" spans="1:15" ht="34" x14ac:dyDescent="0.2">
      <c r="A565" t="s">
        <v>1238</v>
      </c>
      <c r="B565" t="s">
        <v>1239</v>
      </c>
      <c r="C565" t="s">
        <v>1272</v>
      </c>
      <c r="D565" t="s">
        <v>1253</v>
      </c>
      <c r="E565" t="b">
        <f t="shared" si="10"/>
        <v>1</v>
      </c>
      <c r="F565" t="str">
        <f t="shared" si="11"/>
        <v>OK</v>
      </c>
      <c r="G565" t="s">
        <v>30</v>
      </c>
      <c r="H565" s="1">
        <v>0.01</v>
      </c>
      <c r="I565" t="s">
        <v>1273</v>
      </c>
      <c r="J565" t="s">
        <v>1269</v>
      </c>
      <c r="K565" s="2" t="s">
        <v>1256</v>
      </c>
      <c r="M565" t="s">
        <v>22</v>
      </c>
      <c r="O565" t="s">
        <v>72</v>
      </c>
    </row>
    <row r="566" spans="1:15" ht="34" x14ac:dyDescent="0.2">
      <c r="A566" t="s">
        <v>1238</v>
      </c>
      <c r="B566" t="s">
        <v>1239</v>
      </c>
      <c r="C566" t="s">
        <v>1274</v>
      </c>
      <c r="D566" t="s">
        <v>1275</v>
      </c>
      <c r="E566" t="b">
        <f t="shared" si="10"/>
        <v>1</v>
      </c>
      <c r="F566" t="str">
        <f t="shared" si="11"/>
        <v>OK</v>
      </c>
      <c r="G566" t="s">
        <v>30</v>
      </c>
      <c r="H566" s="1">
        <v>0</v>
      </c>
      <c r="I566" t="s">
        <v>1276</v>
      </c>
      <c r="J566" t="s">
        <v>1277</v>
      </c>
      <c r="K566" s="2" t="s">
        <v>1256</v>
      </c>
      <c r="M566" t="s">
        <v>35</v>
      </c>
      <c r="O566" t="s">
        <v>72</v>
      </c>
    </row>
    <row r="567" spans="1:15" ht="34" x14ac:dyDescent="0.2">
      <c r="A567" t="s">
        <v>1238</v>
      </c>
      <c r="B567" t="s">
        <v>1239</v>
      </c>
      <c r="C567" t="s">
        <v>1278</v>
      </c>
      <c r="D567" t="s">
        <v>1279</v>
      </c>
      <c r="E567" t="b">
        <f t="shared" si="10"/>
        <v>1</v>
      </c>
      <c r="F567" t="str">
        <f t="shared" si="11"/>
        <v>OK</v>
      </c>
      <c r="G567" t="s">
        <v>18</v>
      </c>
      <c r="H567" s="1">
        <v>0</v>
      </c>
      <c r="I567" t="s">
        <v>1280</v>
      </c>
      <c r="K567" s="2" t="s">
        <v>1281</v>
      </c>
      <c r="M567" t="s">
        <v>22</v>
      </c>
      <c r="O567" t="s">
        <v>72</v>
      </c>
    </row>
    <row r="568" spans="1:15" x14ac:dyDescent="0.2">
      <c r="A568" t="s">
        <v>1238</v>
      </c>
      <c r="B568" t="s">
        <v>1239</v>
      </c>
      <c r="C568" t="s">
        <v>1278</v>
      </c>
      <c r="D568" t="s">
        <v>1279</v>
      </c>
      <c r="E568" t="b">
        <f t="shared" si="10"/>
        <v>1</v>
      </c>
      <c r="F568" t="str">
        <f t="shared" si="11"/>
        <v>OK</v>
      </c>
      <c r="G568" t="s">
        <v>18</v>
      </c>
      <c r="H568" s="1">
        <v>0</v>
      </c>
      <c r="I568" t="s">
        <v>1280</v>
      </c>
      <c r="K568" t="s">
        <v>1282</v>
      </c>
      <c r="M568" t="s">
        <v>22</v>
      </c>
      <c r="O568" t="s">
        <v>72</v>
      </c>
    </row>
    <row r="569" spans="1:15" ht="34" x14ac:dyDescent="0.2">
      <c r="A569" t="s">
        <v>1238</v>
      </c>
      <c r="B569" t="s">
        <v>1239</v>
      </c>
      <c r="C569" t="s">
        <v>1283</v>
      </c>
      <c r="D569" t="s">
        <v>1279</v>
      </c>
      <c r="E569" t="b">
        <f t="shared" si="10"/>
        <v>1</v>
      </c>
      <c r="F569" t="str">
        <f t="shared" si="11"/>
        <v>OK</v>
      </c>
      <c r="G569" t="s">
        <v>18</v>
      </c>
      <c r="H569" s="1">
        <v>0</v>
      </c>
      <c r="I569" t="s">
        <v>1280</v>
      </c>
      <c r="K569" s="2" t="s">
        <v>1281</v>
      </c>
      <c r="M569" t="s">
        <v>22</v>
      </c>
      <c r="O569" t="s">
        <v>72</v>
      </c>
    </row>
    <row r="570" spans="1:15" x14ac:dyDescent="0.2">
      <c r="A570" t="s">
        <v>1238</v>
      </c>
      <c r="B570" t="s">
        <v>1239</v>
      </c>
      <c r="C570" t="s">
        <v>1283</v>
      </c>
      <c r="D570" t="s">
        <v>1279</v>
      </c>
      <c r="E570" t="b">
        <f t="shared" si="10"/>
        <v>1</v>
      </c>
      <c r="F570" t="str">
        <f t="shared" si="11"/>
        <v>OK</v>
      </c>
      <c r="G570" t="s">
        <v>18</v>
      </c>
      <c r="H570" s="1">
        <v>0</v>
      </c>
      <c r="I570" t="s">
        <v>1280</v>
      </c>
      <c r="K570" t="s">
        <v>1282</v>
      </c>
      <c r="M570" t="s">
        <v>22</v>
      </c>
      <c r="O570" t="s">
        <v>72</v>
      </c>
    </row>
    <row r="571" spans="1:15" ht="34" x14ac:dyDescent="0.2">
      <c r="A571" t="s">
        <v>1238</v>
      </c>
      <c r="B571" t="s">
        <v>1239</v>
      </c>
      <c r="C571" t="s">
        <v>1284</v>
      </c>
      <c r="D571" t="s">
        <v>1279</v>
      </c>
      <c r="E571" t="b">
        <f t="shared" si="10"/>
        <v>1</v>
      </c>
      <c r="F571" t="str">
        <f t="shared" si="11"/>
        <v>OK</v>
      </c>
      <c r="G571" t="s">
        <v>18</v>
      </c>
      <c r="H571" s="1">
        <v>0</v>
      </c>
      <c r="I571" t="s">
        <v>1285</v>
      </c>
      <c r="K571" s="2" t="s">
        <v>1281</v>
      </c>
      <c r="M571" t="s">
        <v>22</v>
      </c>
      <c r="O571" t="s">
        <v>72</v>
      </c>
    </row>
    <row r="572" spans="1:15" x14ac:dyDescent="0.2">
      <c r="A572" t="s">
        <v>1238</v>
      </c>
      <c r="B572" t="s">
        <v>1239</v>
      </c>
      <c r="C572" t="s">
        <v>1284</v>
      </c>
      <c r="D572" t="s">
        <v>1279</v>
      </c>
      <c r="E572" t="b">
        <f t="shared" si="10"/>
        <v>1</v>
      </c>
      <c r="F572" t="str">
        <f t="shared" si="11"/>
        <v>OK</v>
      </c>
      <c r="G572" t="s">
        <v>18</v>
      </c>
      <c r="H572" s="1">
        <v>0</v>
      </c>
      <c r="I572" t="s">
        <v>1285</v>
      </c>
      <c r="K572" t="s">
        <v>1282</v>
      </c>
      <c r="M572" t="s">
        <v>22</v>
      </c>
      <c r="O572" t="s">
        <v>72</v>
      </c>
    </row>
    <row r="573" spans="1:15" ht="34" x14ac:dyDescent="0.2">
      <c r="A573" t="s">
        <v>1238</v>
      </c>
      <c r="B573" t="s">
        <v>1239</v>
      </c>
      <c r="C573" t="s">
        <v>1286</v>
      </c>
      <c r="D573" t="s">
        <v>1287</v>
      </c>
      <c r="E573" t="b">
        <f t="shared" si="10"/>
        <v>1</v>
      </c>
      <c r="F573" t="str">
        <f t="shared" si="11"/>
        <v>OK</v>
      </c>
      <c r="G573" t="s">
        <v>18</v>
      </c>
      <c r="H573" s="1">
        <v>0</v>
      </c>
      <c r="I573" t="s">
        <v>1288</v>
      </c>
      <c r="K573" s="2" t="s">
        <v>1281</v>
      </c>
      <c r="M573" t="s">
        <v>22</v>
      </c>
      <c r="O573" t="s">
        <v>72</v>
      </c>
    </row>
    <row r="574" spans="1:15" x14ac:dyDescent="0.2">
      <c r="A574" t="s">
        <v>1238</v>
      </c>
      <c r="B574" t="s">
        <v>1239</v>
      </c>
      <c r="C574" t="s">
        <v>1286</v>
      </c>
      <c r="D574" t="s">
        <v>1287</v>
      </c>
      <c r="E574" t="b">
        <f t="shared" si="10"/>
        <v>1</v>
      </c>
      <c r="F574" t="str">
        <f t="shared" si="11"/>
        <v>OK</v>
      </c>
      <c r="G574" t="s">
        <v>18</v>
      </c>
      <c r="H574" s="1">
        <v>0</v>
      </c>
      <c r="I574" t="s">
        <v>1288</v>
      </c>
      <c r="K574" t="s">
        <v>1282</v>
      </c>
      <c r="M574" t="s">
        <v>22</v>
      </c>
      <c r="O574" t="s">
        <v>72</v>
      </c>
    </row>
    <row r="575" spans="1:15" ht="34" x14ac:dyDescent="0.2">
      <c r="A575" t="s">
        <v>1238</v>
      </c>
      <c r="B575" t="s">
        <v>1239</v>
      </c>
      <c r="C575" t="s">
        <v>1289</v>
      </c>
      <c r="D575" t="s">
        <v>1287</v>
      </c>
      <c r="E575" t="b">
        <f t="shared" si="10"/>
        <v>1</v>
      </c>
      <c r="F575" t="str">
        <f t="shared" si="11"/>
        <v>OK</v>
      </c>
      <c r="G575" t="s">
        <v>18</v>
      </c>
      <c r="H575" s="1">
        <v>0</v>
      </c>
      <c r="I575" t="s">
        <v>1285</v>
      </c>
      <c r="K575" s="2" t="s">
        <v>1281</v>
      </c>
      <c r="M575" t="s">
        <v>22</v>
      </c>
      <c r="O575" t="s">
        <v>72</v>
      </c>
    </row>
    <row r="576" spans="1:15" x14ac:dyDescent="0.2">
      <c r="A576" t="s">
        <v>1238</v>
      </c>
      <c r="B576" t="s">
        <v>1239</v>
      </c>
      <c r="C576" t="s">
        <v>1289</v>
      </c>
      <c r="D576" t="s">
        <v>1287</v>
      </c>
      <c r="E576" t="b">
        <f t="shared" si="10"/>
        <v>1</v>
      </c>
      <c r="F576" t="str">
        <f t="shared" si="11"/>
        <v>OK</v>
      </c>
      <c r="G576" t="s">
        <v>18</v>
      </c>
      <c r="H576" s="1">
        <v>0</v>
      </c>
      <c r="I576" t="s">
        <v>1285</v>
      </c>
      <c r="K576" t="s">
        <v>1282</v>
      </c>
      <c r="M576" t="s">
        <v>22</v>
      </c>
      <c r="O576" t="s">
        <v>72</v>
      </c>
    </row>
    <row r="577" spans="1:15" ht="34" x14ac:dyDescent="0.2">
      <c r="A577" t="s">
        <v>1238</v>
      </c>
      <c r="B577" t="s">
        <v>1239</v>
      </c>
      <c r="C577" t="s">
        <v>1290</v>
      </c>
      <c r="D577" t="s">
        <v>1287</v>
      </c>
      <c r="E577" t="b">
        <f t="shared" si="10"/>
        <v>1</v>
      </c>
      <c r="F577" t="str">
        <f t="shared" si="11"/>
        <v>OK</v>
      </c>
      <c r="G577" t="s">
        <v>18</v>
      </c>
      <c r="H577" s="1">
        <v>0</v>
      </c>
      <c r="I577" t="s">
        <v>1291</v>
      </c>
      <c r="K577" s="2" t="s">
        <v>1281</v>
      </c>
      <c r="M577" t="s">
        <v>22</v>
      </c>
      <c r="O577" t="s">
        <v>72</v>
      </c>
    </row>
    <row r="578" spans="1:15" x14ac:dyDescent="0.2">
      <c r="A578" t="s">
        <v>1238</v>
      </c>
      <c r="B578" t="s">
        <v>1239</v>
      </c>
      <c r="C578" t="s">
        <v>1290</v>
      </c>
      <c r="D578" t="s">
        <v>1287</v>
      </c>
      <c r="E578" t="b">
        <f t="shared" si="10"/>
        <v>1</v>
      </c>
      <c r="F578" t="str">
        <f t="shared" si="11"/>
        <v>OK</v>
      </c>
      <c r="G578" t="s">
        <v>18</v>
      </c>
      <c r="H578" s="1">
        <v>0</v>
      </c>
      <c r="I578" t="s">
        <v>1291</v>
      </c>
      <c r="K578" t="s">
        <v>1282</v>
      </c>
      <c r="M578" t="s">
        <v>22</v>
      </c>
      <c r="O578" t="s">
        <v>72</v>
      </c>
    </row>
    <row r="579" spans="1:15" ht="34" x14ac:dyDescent="0.2">
      <c r="A579" t="s">
        <v>1238</v>
      </c>
      <c r="B579" t="s">
        <v>1239</v>
      </c>
      <c r="C579" t="s">
        <v>1292</v>
      </c>
      <c r="D579" t="s">
        <v>1293</v>
      </c>
      <c r="E579" t="b">
        <f t="shared" si="10"/>
        <v>0</v>
      </c>
      <c r="F579" t="str">
        <f t="shared" si="11"/>
        <v>OK</v>
      </c>
      <c r="G579" t="s">
        <v>18</v>
      </c>
      <c r="H579" s="1">
        <v>0</v>
      </c>
      <c r="I579" t="s">
        <v>1294</v>
      </c>
      <c r="K579" s="2" t="s">
        <v>1281</v>
      </c>
      <c r="M579" t="s">
        <v>22</v>
      </c>
      <c r="O579" t="s">
        <v>72</v>
      </c>
    </row>
    <row r="580" spans="1:15" x14ac:dyDescent="0.2">
      <c r="A580" t="s">
        <v>1238</v>
      </c>
      <c r="B580" t="s">
        <v>1239</v>
      </c>
      <c r="C580" t="s">
        <v>1292</v>
      </c>
      <c r="D580" t="s">
        <v>1293</v>
      </c>
      <c r="E580" t="b">
        <f t="shared" si="10"/>
        <v>0</v>
      </c>
      <c r="F580" t="str">
        <f t="shared" si="11"/>
        <v>OK</v>
      </c>
      <c r="G580" t="s">
        <v>18</v>
      </c>
      <c r="H580" s="1">
        <v>0</v>
      </c>
      <c r="I580" t="s">
        <v>1294</v>
      </c>
      <c r="K580" t="s">
        <v>1282</v>
      </c>
      <c r="M580" t="s">
        <v>22</v>
      </c>
      <c r="O580" t="s">
        <v>72</v>
      </c>
    </row>
    <row r="581" spans="1:15" ht="34" x14ac:dyDescent="0.2">
      <c r="A581" t="s">
        <v>1238</v>
      </c>
      <c r="B581" t="s">
        <v>1239</v>
      </c>
      <c r="C581" t="s">
        <v>1295</v>
      </c>
      <c r="D581" t="s">
        <v>1279</v>
      </c>
      <c r="E581" t="b">
        <f t="shared" si="10"/>
        <v>1</v>
      </c>
      <c r="F581" t="str">
        <f t="shared" si="11"/>
        <v>OK</v>
      </c>
      <c r="G581" t="s">
        <v>18</v>
      </c>
      <c r="H581" s="1">
        <v>0</v>
      </c>
      <c r="I581" t="s">
        <v>1285</v>
      </c>
      <c r="K581" s="2" t="s">
        <v>1281</v>
      </c>
      <c r="M581" t="s">
        <v>22</v>
      </c>
      <c r="O581" t="s">
        <v>72</v>
      </c>
    </row>
    <row r="582" spans="1:15" x14ac:dyDescent="0.2">
      <c r="A582" t="s">
        <v>1238</v>
      </c>
      <c r="B582" t="s">
        <v>1239</v>
      </c>
      <c r="C582" t="s">
        <v>1295</v>
      </c>
      <c r="D582" t="s">
        <v>1279</v>
      </c>
      <c r="E582" t="b">
        <f t="shared" si="10"/>
        <v>1</v>
      </c>
      <c r="F582" t="str">
        <f t="shared" si="11"/>
        <v>OK</v>
      </c>
      <c r="G582" t="s">
        <v>18</v>
      </c>
      <c r="H582" s="1">
        <v>0</v>
      </c>
      <c r="I582" t="s">
        <v>1285</v>
      </c>
      <c r="K582" t="s">
        <v>1282</v>
      </c>
      <c r="M582" t="s">
        <v>22</v>
      </c>
      <c r="O582" t="s">
        <v>72</v>
      </c>
    </row>
    <row r="583" spans="1:15" ht="34" x14ac:dyDescent="0.2">
      <c r="A583" t="s">
        <v>1238</v>
      </c>
      <c r="B583" t="s">
        <v>1239</v>
      </c>
      <c r="C583" t="s">
        <v>1296</v>
      </c>
      <c r="D583" t="s">
        <v>1279</v>
      </c>
      <c r="E583" t="b">
        <f t="shared" si="10"/>
        <v>1</v>
      </c>
      <c r="F583" t="str">
        <f t="shared" si="11"/>
        <v>OK</v>
      </c>
      <c r="G583" t="s">
        <v>18</v>
      </c>
      <c r="H583" s="1">
        <v>0</v>
      </c>
      <c r="I583" t="s">
        <v>1297</v>
      </c>
      <c r="K583" s="2" t="s">
        <v>1281</v>
      </c>
      <c r="M583" t="s">
        <v>22</v>
      </c>
      <c r="O583" t="s">
        <v>72</v>
      </c>
    </row>
    <row r="584" spans="1:15" x14ac:dyDescent="0.2">
      <c r="A584" t="s">
        <v>1238</v>
      </c>
      <c r="B584" t="s">
        <v>1239</v>
      </c>
      <c r="C584" t="s">
        <v>1296</v>
      </c>
      <c r="D584" t="s">
        <v>1279</v>
      </c>
      <c r="E584" t="b">
        <f t="shared" si="10"/>
        <v>1</v>
      </c>
      <c r="F584" t="str">
        <f t="shared" si="11"/>
        <v>OK</v>
      </c>
      <c r="G584" t="s">
        <v>18</v>
      </c>
      <c r="H584" s="1">
        <v>0</v>
      </c>
      <c r="I584" t="s">
        <v>1297</v>
      </c>
      <c r="K584" t="s">
        <v>1282</v>
      </c>
      <c r="M584" t="s">
        <v>22</v>
      </c>
      <c r="O584" t="s">
        <v>72</v>
      </c>
    </row>
    <row r="585" spans="1:15" ht="34" x14ac:dyDescent="0.2">
      <c r="A585" t="s">
        <v>1238</v>
      </c>
      <c r="B585" t="s">
        <v>1239</v>
      </c>
      <c r="C585" t="s">
        <v>1298</v>
      </c>
      <c r="D585" t="s">
        <v>1287</v>
      </c>
      <c r="E585" t="b">
        <f t="shared" si="10"/>
        <v>1</v>
      </c>
      <c r="F585" t="str">
        <f t="shared" si="11"/>
        <v>OK</v>
      </c>
      <c r="G585" t="s">
        <v>18</v>
      </c>
      <c r="H585" s="1">
        <v>0</v>
      </c>
      <c r="I585" t="s">
        <v>1285</v>
      </c>
      <c r="K585" s="2" t="s">
        <v>1281</v>
      </c>
      <c r="M585" t="s">
        <v>22</v>
      </c>
      <c r="O585" t="s">
        <v>72</v>
      </c>
    </row>
    <row r="586" spans="1:15" x14ac:dyDescent="0.2">
      <c r="A586" t="s">
        <v>1238</v>
      </c>
      <c r="B586" t="s">
        <v>1239</v>
      </c>
      <c r="C586" t="s">
        <v>1298</v>
      </c>
      <c r="D586" t="s">
        <v>1287</v>
      </c>
      <c r="E586" t="b">
        <f t="shared" si="10"/>
        <v>1</v>
      </c>
      <c r="F586" t="str">
        <f t="shared" si="11"/>
        <v>OK</v>
      </c>
      <c r="G586" t="s">
        <v>18</v>
      </c>
      <c r="H586" s="1">
        <v>0</v>
      </c>
      <c r="I586" t="s">
        <v>1285</v>
      </c>
      <c r="K586" t="s">
        <v>1282</v>
      </c>
      <c r="M586" t="s">
        <v>22</v>
      </c>
      <c r="O586" t="s">
        <v>72</v>
      </c>
    </row>
    <row r="587" spans="1:15" ht="34" x14ac:dyDescent="0.2">
      <c r="A587" t="s">
        <v>1238</v>
      </c>
      <c r="B587" t="s">
        <v>1239</v>
      </c>
      <c r="C587" t="s">
        <v>1299</v>
      </c>
      <c r="D587" t="s">
        <v>1279</v>
      </c>
      <c r="E587" t="b">
        <f t="shared" si="10"/>
        <v>1</v>
      </c>
      <c r="F587" t="str">
        <f t="shared" si="11"/>
        <v>OK</v>
      </c>
      <c r="G587" t="s">
        <v>18</v>
      </c>
      <c r="H587" s="1">
        <v>0</v>
      </c>
      <c r="I587" t="s">
        <v>1280</v>
      </c>
      <c r="K587" s="2" t="s">
        <v>1281</v>
      </c>
      <c r="M587" t="s">
        <v>22</v>
      </c>
      <c r="O587" t="s">
        <v>72</v>
      </c>
    </row>
    <row r="588" spans="1:15" x14ac:dyDescent="0.2">
      <c r="A588" t="s">
        <v>1238</v>
      </c>
      <c r="B588" t="s">
        <v>1239</v>
      </c>
      <c r="C588" t="s">
        <v>1299</v>
      </c>
      <c r="D588" t="s">
        <v>1279</v>
      </c>
      <c r="E588" t="b">
        <f t="shared" si="10"/>
        <v>1</v>
      </c>
      <c r="F588" t="str">
        <f t="shared" si="11"/>
        <v>OK</v>
      </c>
      <c r="G588" t="s">
        <v>18</v>
      </c>
      <c r="H588" s="1">
        <v>0</v>
      </c>
      <c r="I588" t="s">
        <v>1280</v>
      </c>
      <c r="K588" t="s">
        <v>1282</v>
      </c>
      <c r="M588" t="s">
        <v>22</v>
      </c>
      <c r="O588" t="s">
        <v>72</v>
      </c>
    </row>
    <row r="589" spans="1:15" ht="34" x14ac:dyDescent="0.2">
      <c r="A589" t="s">
        <v>1238</v>
      </c>
      <c r="B589" t="s">
        <v>1239</v>
      </c>
      <c r="C589" t="s">
        <v>1300</v>
      </c>
      <c r="D589" t="s">
        <v>1287</v>
      </c>
      <c r="E589" t="b">
        <f t="shared" si="10"/>
        <v>1</v>
      </c>
      <c r="F589" t="str">
        <f t="shared" si="11"/>
        <v>OK</v>
      </c>
      <c r="G589" t="s">
        <v>18</v>
      </c>
      <c r="H589" s="1">
        <v>0</v>
      </c>
      <c r="I589" t="s">
        <v>1288</v>
      </c>
      <c r="K589" s="2" t="s">
        <v>1281</v>
      </c>
      <c r="M589" t="s">
        <v>22</v>
      </c>
      <c r="O589" t="s">
        <v>72</v>
      </c>
    </row>
    <row r="590" spans="1:15" x14ac:dyDescent="0.2">
      <c r="A590" t="s">
        <v>1238</v>
      </c>
      <c r="B590" t="s">
        <v>1239</v>
      </c>
      <c r="C590" t="s">
        <v>1300</v>
      </c>
      <c r="D590" t="s">
        <v>1287</v>
      </c>
      <c r="E590" t="b">
        <f t="shared" si="10"/>
        <v>1</v>
      </c>
      <c r="F590" t="str">
        <f t="shared" si="11"/>
        <v>OK</v>
      </c>
      <c r="G590" t="s">
        <v>18</v>
      </c>
      <c r="H590" s="1">
        <v>0</v>
      </c>
      <c r="I590" t="s">
        <v>1288</v>
      </c>
      <c r="K590" t="s">
        <v>1282</v>
      </c>
      <c r="M590" t="s">
        <v>22</v>
      </c>
      <c r="O590" t="s">
        <v>72</v>
      </c>
    </row>
    <row r="591" spans="1:15" ht="34" x14ac:dyDescent="0.2">
      <c r="A591" t="s">
        <v>1238</v>
      </c>
      <c r="B591" t="s">
        <v>1239</v>
      </c>
      <c r="C591" t="s">
        <v>1301</v>
      </c>
      <c r="D591" t="s">
        <v>1302</v>
      </c>
      <c r="E591" t="b">
        <f t="shared" si="10"/>
        <v>1</v>
      </c>
      <c r="F591" t="str">
        <f t="shared" si="11"/>
        <v>OK</v>
      </c>
      <c r="G591" t="s">
        <v>18</v>
      </c>
      <c r="H591" s="1">
        <v>0</v>
      </c>
      <c r="I591" t="s">
        <v>1303</v>
      </c>
      <c r="K591" s="2" t="s">
        <v>1281</v>
      </c>
      <c r="M591" t="s">
        <v>22</v>
      </c>
      <c r="O591" t="s">
        <v>72</v>
      </c>
    </row>
    <row r="592" spans="1:15" ht="34" x14ac:dyDescent="0.2">
      <c r="A592" t="s">
        <v>1238</v>
      </c>
      <c r="B592" t="s">
        <v>1239</v>
      </c>
      <c r="C592" t="s">
        <v>1304</v>
      </c>
      <c r="D592" t="s">
        <v>1302</v>
      </c>
      <c r="E592" t="b">
        <f t="shared" si="10"/>
        <v>1</v>
      </c>
      <c r="F592" t="str">
        <f t="shared" si="11"/>
        <v>OK</v>
      </c>
      <c r="G592" t="s">
        <v>18</v>
      </c>
      <c r="H592" s="1">
        <v>0</v>
      </c>
      <c r="I592" t="s">
        <v>1303</v>
      </c>
      <c r="K592" s="2" t="s">
        <v>1281</v>
      </c>
      <c r="M592" t="s">
        <v>22</v>
      </c>
      <c r="O592" t="s">
        <v>72</v>
      </c>
    </row>
    <row r="593" spans="1:15" ht="34" x14ac:dyDescent="0.2">
      <c r="A593" t="s">
        <v>1238</v>
      </c>
      <c r="B593" t="s">
        <v>1239</v>
      </c>
      <c r="C593" t="s">
        <v>1305</v>
      </c>
      <c r="D593" t="s">
        <v>1302</v>
      </c>
      <c r="E593" t="b">
        <f t="shared" ref="E593:E656" si="12">COUNTIF(R:R,D593)&gt;0</f>
        <v>1</v>
      </c>
      <c r="F593" t="str">
        <f t="shared" ref="F593:F656" si="13">IF(COUNTIF(C593,"*hybrid*")&gt;0,
     IF(COUNTIF(D593,"*hybrid*")&gt;0,"OK","Mismatch"),
     "OK")</f>
        <v>OK</v>
      </c>
      <c r="G593" t="s">
        <v>18</v>
      </c>
      <c r="H593" s="1">
        <v>0</v>
      </c>
      <c r="I593" t="s">
        <v>1303</v>
      </c>
      <c r="K593" s="2" t="s">
        <v>1281</v>
      </c>
      <c r="M593" t="s">
        <v>22</v>
      </c>
      <c r="O593" t="s">
        <v>72</v>
      </c>
    </row>
    <row r="594" spans="1:15" ht="34" x14ac:dyDescent="0.2">
      <c r="A594" t="s">
        <v>1238</v>
      </c>
      <c r="B594" t="s">
        <v>1239</v>
      </c>
      <c r="C594" t="s">
        <v>1306</v>
      </c>
      <c r="D594" t="s">
        <v>1302</v>
      </c>
      <c r="E594" t="b">
        <f t="shared" si="12"/>
        <v>1</v>
      </c>
      <c r="F594" t="str">
        <f t="shared" si="13"/>
        <v>OK</v>
      </c>
      <c r="G594" t="s">
        <v>18</v>
      </c>
      <c r="H594" s="1">
        <v>0</v>
      </c>
      <c r="I594" t="s">
        <v>1291</v>
      </c>
      <c r="K594" s="2" t="s">
        <v>1281</v>
      </c>
      <c r="M594" t="s">
        <v>22</v>
      </c>
      <c r="O594" t="s">
        <v>72</v>
      </c>
    </row>
    <row r="595" spans="1:15" ht="34" x14ac:dyDescent="0.2">
      <c r="A595" t="s">
        <v>1238</v>
      </c>
      <c r="B595" t="s">
        <v>1239</v>
      </c>
      <c r="C595" t="s">
        <v>1307</v>
      </c>
      <c r="D595" t="s">
        <v>1302</v>
      </c>
      <c r="E595" t="b">
        <f t="shared" si="12"/>
        <v>1</v>
      </c>
      <c r="F595" t="str">
        <f t="shared" si="13"/>
        <v>OK</v>
      </c>
      <c r="G595" t="s">
        <v>18</v>
      </c>
      <c r="H595" s="1">
        <v>0</v>
      </c>
      <c r="I595" t="s">
        <v>1308</v>
      </c>
      <c r="K595" s="2" t="s">
        <v>1281</v>
      </c>
      <c r="M595" t="s">
        <v>22</v>
      </c>
      <c r="O595" t="s">
        <v>72</v>
      </c>
    </row>
    <row r="596" spans="1:15" ht="34" x14ac:dyDescent="0.2">
      <c r="A596" t="s">
        <v>1238</v>
      </c>
      <c r="B596" t="s">
        <v>1239</v>
      </c>
      <c r="C596" t="s">
        <v>1309</v>
      </c>
      <c r="D596" t="s">
        <v>1302</v>
      </c>
      <c r="E596" t="b">
        <f t="shared" si="12"/>
        <v>1</v>
      </c>
      <c r="F596" t="str">
        <f t="shared" si="13"/>
        <v>OK</v>
      </c>
      <c r="G596" t="s">
        <v>18</v>
      </c>
      <c r="H596" s="1">
        <v>0</v>
      </c>
      <c r="I596" t="s">
        <v>1285</v>
      </c>
      <c r="K596" s="2" t="s">
        <v>1281</v>
      </c>
      <c r="M596" t="s">
        <v>22</v>
      </c>
      <c r="O596" t="s">
        <v>72</v>
      </c>
    </row>
    <row r="597" spans="1:15" ht="34" x14ac:dyDescent="0.2">
      <c r="A597" t="s">
        <v>1238</v>
      </c>
      <c r="B597" t="s">
        <v>1239</v>
      </c>
      <c r="C597" t="s">
        <v>1310</v>
      </c>
      <c r="D597" t="s">
        <v>1302</v>
      </c>
      <c r="E597" t="b">
        <f t="shared" si="12"/>
        <v>1</v>
      </c>
      <c r="F597" t="str">
        <f t="shared" si="13"/>
        <v>OK</v>
      </c>
      <c r="G597" t="s">
        <v>18</v>
      </c>
      <c r="H597" s="1">
        <v>0</v>
      </c>
      <c r="I597" t="s">
        <v>1285</v>
      </c>
      <c r="K597" s="2" t="s">
        <v>1281</v>
      </c>
      <c r="M597" t="s">
        <v>22</v>
      </c>
      <c r="O597" t="s">
        <v>72</v>
      </c>
    </row>
    <row r="598" spans="1:15" ht="34" x14ac:dyDescent="0.2">
      <c r="A598" t="s">
        <v>1238</v>
      </c>
      <c r="B598" t="s">
        <v>1239</v>
      </c>
      <c r="C598" t="s">
        <v>1311</v>
      </c>
      <c r="D598" t="s">
        <v>1302</v>
      </c>
      <c r="E598" t="b">
        <f t="shared" si="12"/>
        <v>1</v>
      </c>
      <c r="F598" t="str">
        <f t="shared" si="13"/>
        <v>OK</v>
      </c>
      <c r="G598" t="s">
        <v>18</v>
      </c>
      <c r="H598" s="1">
        <v>0</v>
      </c>
      <c r="I598" t="s">
        <v>1288</v>
      </c>
      <c r="K598" s="2" t="s">
        <v>1312</v>
      </c>
      <c r="M598" t="s">
        <v>22</v>
      </c>
      <c r="O598" t="s">
        <v>72</v>
      </c>
    </row>
    <row r="599" spans="1:15" ht="34" x14ac:dyDescent="0.2">
      <c r="A599" t="s">
        <v>1238</v>
      </c>
      <c r="B599" t="s">
        <v>1239</v>
      </c>
      <c r="C599" t="s">
        <v>1313</v>
      </c>
      <c r="D599" t="s">
        <v>1302</v>
      </c>
      <c r="E599" t="b">
        <f t="shared" si="12"/>
        <v>1</v>
      </c>
      <c r="F599" t="str">
        <f t="shared" si="13"/>
        <v>OK</v>
      </c>
      <c r="G599" t="s">
        <v>18</v>
      </c>
      <c r="H599" s="1">
        <v>0</v>
      </c>
      <c r="I599" t="s">
        <v>1280</v>
      </c>
      <c r="K599" s="2" t="s">
        <v>1312</v>
      </c>
      <c r="M599" t="s">
        <v>22</v>
      </c>
      <c r="O599" t="s">
        <v>72</v>
      </c>
    </row>
    <row r="600" spans="1:15" ht="34" x14ac:dyDescent="0.2">
      <c r="A600" t="s">
        <v>1238</v>
      </c>
      <c r="B600" t="s">
        <v>1239</v>
      </c>
      <c r="C600" t="s">
        <v>1314</v>
      </c>
      <c r="D600" t="s">
        <v>1302</v>
      </c>
      <c r="E600" t="b">
        <f t="shared" si="12"/>
        <v>1</v>
      </c>
      <c r="F600" t="str">
        <f t="shared" si="13"/>
        <v>OK</v>
      </c>
      <c r="G600" t="s">
        <v>18</v>
      </c>
      <c r="H600" s="1">
        <v>0</v>
      </c>
      <c r="I600" t="s">
        <v>1280</v>
      </c>
      <c r="K600" s="2" t="s">
        <v>1312</v>
      </c>
      <c r="M600" t="s">
        <v>22</v>
      </c>
      <c r="O600" t="s">
        <v>72</v>
      </c>
    </row>
    <row r="601" spans="1:15" ht="34" x14ac:dyDescent="0.2">
      <c r="A601" t="s">
        <v>1238</v>
      </c>
      <c r="B601" t="s">
        <v>1239</v>
      </c>
      <c r="C601" t="s">
        <v>1315</v>
      </c>
      <c r="D601" t="s">
        <v>1302</v>
      </c>
      <c r="E601" t="b">
        <f t="shared" si="12"/>
        <v>1</v>
      </c>
      <c r="F601" t="str">
        <f t="shared" si="13"/>
        <v>OK</v>
      </c>
      <c r="G601" t="s">
        <v>18</v>
      </c>
      <c r="H601" s="1">
        <v>0</v>
      </c>
      <c r="I601" t="s">
        <v>1297</v>
      </c>
      <c r="K601" s="2" t="s">
        <v>1312</v>
      </c>
      <c r="M601" t="s">
        <v>22</v>
      </c>
      <c r="O601" t="s">
        <v>72</v>
      </c>
    </row>
    <row r="602" spans="1:15" ht="34" x14ac:dyDescent="0.2">
      <c r="A602" t="s">
        <v>1238</v>
      </c>
      <c r="B602" t="s">
        <v>1239</v>
      </c>
      <c r="C602" t="s">
        <v>1316</v>
      </c>
      <c r="D602" t="s">
        <v>1302</v>
      </c>
      <c r="E602" t="b">
        <f t="shared" si="12"/>
        <v>1</v>
      </c>
      <c r="F602" t="str">
        <f t="shared" si="13"/>
        <v>OK</v>
      </c>
      <c r="G602" t="s">
        <v>18</v>
      </c>
      <c r="H602" s="1">
        <v>0</v>
      </c>
      <c r="I602" t="s">
        <v>1288</v>
      </c>
      <c r="K602" s="2" t="s">
        <v>1312</v>
      </c>
      <c r="M602" t="s">
        <v>22</v>
      </c>
      <c r="O602" t="s">
        <v>72</v>
      </c>
    </row>
    <row r="603" spans="1:15" ht="34" x14ac:dyDescent="0.2">
      <c r="A603" t="s">
        <v>1238</v>
      </c>
      <c r="B603" t="s">
        <v>1239</v>
      </c>
      <c r="C603" t="s">
        <v>1317</v>
      </c>
      <c r="D603" t="s">
        <v>1302</v>
      </c>
      <c r="E603" t="b">
        <f t="shared" si="12"/>
        <v>1</v>
      </c>
      <c r="F603" t="str">
        <f t="shared" si="13"/>
        <v>OK</v>
      </c>
      <c r="G603" t="s">
        <v>18</v>
      </c>
      <c r="H603" s="1">
        <v>0</v>
      </c>
      <c r="I603" t="s">
        <v>1280</v>
      </c>
      <c r="K603" s="2" t="s">
        <v>1312</v>
      </c>
      <c r="M603" t="s">
        <v>22</v>
      </c>
      <c r="O603" t="s">
        <v>72</v>
      </c>
    </row>
    <row r="604" spans="1:15" ht="34" x14ac:dyDescent="0.2">
      <c r="A604" t="s">
        <v>1238</v>
      </c>
      <c r="B604" t="s">
        <v>1239</v>
      </c>
      <c r="C604" t="s">
        <v>1318</v>
      </c>
      <c r="D604" t="s">
        <v>1302</v>
      </c>
      <c r="E604" t="b">
        <f t="shared" si="12"/>
        <v>1</v>
      </c>
      <c r="F604" t="str">
        <f t="shared" si="13"/>
        <v>OK</v>
      </c>
      <c r="G604" t="s">
        <v>18</v>
      </c>
      <c r="H604" s="1">
        <v>0</v>
      </c>
      <c r="I604" t="s">
        <v>1285</v>
      </c>
      <c r="K604" s="2" t="s">
        <v>1312</v>
      </c>
      <c r="M604" t="s">
        <v>22</v>
      </c>
      <c r="O604" t="s">
        <v>72</v>
      </c>
    </row>
    <row r="605" spans="1:15" ht="34" x14ac:dyDescent="0.2">
      <c r="A605" t="s">
        <v>1238</v>
      </c>
      <c r="B605" t="s">
        <v>1239</v>
      </c>
      <c r="C605" t="s">
        <v>1319</v>
      </c>
      <c r="D605" t="s">
        <v>1666</v>
      </c>
      <c r="E605" t="b">
        <f t="shared" si="12"/>
        <v>1</v>
      </c>
      <c r="F605" t="str">
        <f t="shared" si="13"/>
        <v>OK</v>
      </c>
      <c r="G605" t="s">
        <v>18</v>
      </c>
      <c r="H605" s="1">
        <v>0</v>
      </c>
      <c r="I605" t="s">
        <v>1271</v>
      </c>
      <c r="J605" t="s">
        <v>1320</v>
      </c>
      <c r="K605" s="2" t="s">
        <v>1312</v>
      </c>
      <c r="M605" t="s">
        <v>22</v>
      </c>
      <c r="O605" t="s">
        <v>72</v>
      </c>
    </row>
    <row r="606" spans="1:15" ht="34" x14ac:dyDescent="0.2">
      <c r="A606" t="s">
        <v>1238</v>
      </c>
      <c r="B606" t="s">
        <v>1239</v>
      </c>
      <c r="C606" t="s">
        <v>1321</v>
      </c>
      <c r="D606" t="s">
        <v>1666</v>
      </c>
      <c r="E606" t="b">
        <f t="shared" si="12"/>
        <v>1</v>
      </c>
      <c r="F606" t="str">
        <f t="shared" si="13"/>
        <v>OK</v>
      </c>
      <c r="G606" t="s">
        <v>18</v>
      </c>
      <c r="H606" s="1">
        <v>0</v>
      </c>
      <c r="I606" t="s">
        <v>1273</v>
      </c>
      <c r="J606" t="s">
        <v>1322</v>
      </c>
      <c r="K606" s="2" t="s">
        <v>1312</v>
      </c>
      <c r="M606" t="s">
        <v>22</v>
      </c>
      <c r="O606" t="s">
        <v>72</v>
      </c>
    </row>
    <row r="607" spans="1:15" ht="34" x14ac:dyDescent="0.2">
      <c r="A607" t="s">
        <v>1238</v>
      </c>
      <c r="B607" t="s">
        <v>1239</v>
      </c>
      <c r="C607" t="s">
        <v>1323</v>
      </c>
      <c r="D607" t="s">
        <v>1666</v>
      </c>
      <c r="E607" t="b">
        <f t="shared" si="12"/>
        <v>1</v>
      </c>
      <c r="F607" t="str">
        <f t="shared" si="13"/>
        <v>OK</v>
      </c>
      <c r="G607" t="s">
        <v>18</v>
      </c>
      <c r="H607" s="1">
        <v>0</v>
      </c>
      <c r="I607" t="s">
        <v>1268</v>
      </c>
      <c r="J607" t="s">
        <v>1320</v>
      </c>
      <c r="K607" s="2" t="s">
        <v>1312</v>
      </c>
      <c r="M607" t="s">
        <v>22</v>
      </c>
      <c r="O607" t="s">
        <v>72</v>
      </c>
    </row>
    <row r="608" spans="1:15" ht="34" x14ac:dyDescent="0.2">
      <c r="A608" t="s">
        <v>1238</v>
      </c>
      <c r="B608" t="s">
        <v>1239</v>
      </c>
      <c r="C608" t="s">
        <v>1324</v>
      </c>
      <c r="D608" t="s">
        <v>1666</v>
      </c>
      <c r="E608" t="b">
        <f t="shared" si="12"/>
        <v>1</v>
      </c>
      <c r="F608" t="str">
        <f t="shared" si="13"/>
        <v>OK</v>
      </c>
      <c r="G608" t="s">
        <v>18</v>
      </c>
      <c r="H608" s="1">
        <v>0</v>
      </c>
      <c r="I608" t="s">
        <v>1325</v>
      </c>
      <c r="J608" t="s">
        <v>1326</v>
      </c>
      <c r="K608" s="2" t="s">
        <v>1312</v>
      </c>
      <c r="M608" t="s">
        <v>22</v>
      </c>
      <c r="O608" t="s">
        <v>72</v>
      </c>
    </row>
    <row r="609" spans="1:15" ht="34" x14ac:dyDescent="0.2">
      <c r="A609" t="s">
        <v>1238</v>
      </c>
      <c r="B609" t="s">
        <v>1239</v>
      </c>
      <c r="C609" t="s">
        <v>1327</v>
      </c>
      <c r="D609" t="s">
        <v>1328</v>
      </c>
      <c r="E609" t="b">
        <f t="shared" si="12"/>
        <v>1</v>
      </c>
      <c r="F609" t="str">
        <f t="shared" si="13"/>
        <v>OK</v>
      </c>
      <c r="G609" t="s">
        <v>18</v>
      </c>
      <c r="H609" s="1">
        <v>0</v>
      </c>
      <c r="I609" t="s">
        <v>1329</v>
      </c>
      <c r="K609" s="2" t="s">
        <v>1247</v>
      </c>
      <c r="M609" t="s">
        <v>35</v>
      </c>
      <c r="O609" t="s">
        <v>72</v>
      </c>
    </row>
    <row r="610" spans="1:15" ht="34" x14ac:dyDescent="0.2">
      <c r="A610" t="s">
        <v>1238</v>
      </c>
      <c r="B610" t="s">
        <v>1239</v>
      </c>
      <c r="C610" t="s">
        <v>1330</v>
      </c>
      <c r="D610" t="s">
        <v>1331</v>
      </c>
      <c r="E610" t="b">
        <f t="shared" si="12"/>
        <v>1</v>
      </c>
      <c r="F610" t="str">
        <f t="shared" si="13"/>
        <v>OK</v>
      </c>
      <c r="G610" t="s">
        <v>18</v>
      </c>
      <c r="H610" s="1">
        <v>0</v>
      </c>
      <c r="I610" t="s">
        <v>1332</v>
      </c>
      <c r="K610" s="2" t="s">
        <v>1243</v>
      </c>
      <c r="M610" t="s">
        <v>35</v>
      </c>
      <c r="O610" t="s">
        <v>72</v>
      </c>
    </row>
    <row r="611" spans="1:15" ht="34" x14ac:dyDescent="0.2">
      <c r="A611" t="s">
        <v>1238</v>
      </c>
      <c r="B611" t="s">
        <v>1239</v>
      </c>
      <c r="C611" t="s">
        <v>1333</v>
      </c>
      <c r="D611" t="s">
        <v>1331</v>
      </c>
      <c r="E611" t="b">
        <f t="shared" si="12"/>
        <v>1</v>
      </c>
      <c r="F611" t="str">
        <f t="shared" si="13"/>
        <v>OK</v>
      </c>
      <c r="G611" t="s">
        <v>18</v>
      </c>
      <c r="H611" s="1">
        <v>0</v>
      </c>
      <c r="I611" t="s">
        <v>1334</v>
      </c>
      <c r="K611" s="2" t="s">
        <v>1243</v>
      </c>
      <c r="M611" t="s">
        <v>22</v>
      </c>
      <c r="O611" t="s">
        <v>72</v>
      </c>
    </row>
    <row r="612" spans="1:15" ht="34" x14ac:dyDescent="0.2">
      <c r="A612" t="s">
        <v>1238</v>
      </c>
      <c r="B612" t="s">
        <v>1239</v>
      </c>
      <c r="C612" t="s">
        <v>1335</v>
      </c>
      <c r="D612" t="s">
        <v>1331</v>
      </c>
      <c r="E612" t="b">
        <f t="shared" si="12"/>
        <v>1</v>
      </c>
      <c r="F612" t="str">
        <f t="shared" si="13"/>
        <v>OK</v>
      </c>
      <c r="G612" t="s">
        <v>18</v>
      </c>
      <c r="H612" s="1">
        <v>0</v>
      </c>
      <c r="I612" t="s">
        <v>1336</v>
      </c>
      <c r="K612" s="2" t="s">
        <v>1243</v>
      </c>
      <c r="M612" t="s">
        <v>22</v>
      </c>
      <c r="O612" t="s">
        <v>72</v>
      </c>
    </row>
    <row r="613" spans="1:15" ht="34" x14ac:dyDescent="0.2">
      <c r="A613" t="s">
        <v>1238</v>
      </c>
      <c r="B613" t="s">
        <v>1239</v>
      </c>
      <c r="C613" t="s">
        <v>1337</v>
      </c>
      <c r="D613" t="s">
        <v>1328</v>
      </c>
      <c r="E613" t="b">
        <f t="shared" si="12"/>
        <v>1</v>
      </c>
      <c r="F613" t="str">
        <f t="shared" si="13"/>
        <v>OK</v>
      </c>
      <c r="G613" t="s">
        <v>18</v>
      </c>
      <c r="H613" s="1">
        <v>0</v>
      </c>
      <c r="I613" t="s">
        <v>1338</v>
      </c>
      <c r="K613" s="2" t="s">
        <v>1243</v>
      </c>
      <c r="M613" t="s">
        <v>22</v>
      </c>
      <c r="O613" t="s">
        <v>72</v>
      </c>
    </row>
    <row r="614" spans="1:15" ht="68" x14ac:dyDescent="0.2">
      <c r="A614" t="s">
        <v>1238</v>
      </c>
      <c r="B614" t="s">
        <v>1239</v>
      </c>
      <c r="C614" s="2" t="s">
        <v>1339</v>
      </c>
      <c r="D614" t="s">
        <v>1328</v>
      </c>
      <c r="E614" t="b">
        <f t="shared" si="12"/>
        <v>1</v>
      </c>
      <c r="F614" t="str">
        <f t="shared" si="13"/>
        <v>OK</v>
      </c>
      <c r="G614" t="s">
        <v>18</v>
      </c>
      <c r="H614" s="1">
        <v>0</v>
      </c>
      <c r="I614" t="s">
        <v>1340</v>
      </c>
      <c r="K614" s="2" t="s">
        <v>1247</v>
      </c>
      <c r="M614" t="s">
        <v>22</v>
      </c>
      <c r="O614" t="s">
        <v>72</v>
      </c>
    </row>
    <row r="615" spans="1:15" ht="34" x14ac:dyDescent="0.2">
      <c r="A615" t="s">
        <v>1238</v>
      </c>
      <c r="B615" t="s">
        <v>1239</v>
      </c>
      <c r="C615" t="s">
        <v>1341</v>
      </c>
      <c r="D615" t="s">
        <v>1331</v>
      </c>
      <c r="E615" t="b">
        <f t="shared" si="12"/>
        <v>1</v>
      </c>
      <c r="F615" t="str">
        <f t="shared" si="13"/>
        <v>OK</v>
      </c>
      <c r="G615" t="s">
        <v>18</v>
      </c>
      <c r="H615" s="1">
        <v>0</v>
      </c>
      <c r="I615" t="s">
        <v>1342</v>
      </c>
      <c r="K615" s="2" t="s">
        <v>1243</v>
      </c>
      <c r="M615" t="s">
        <v>35</v>
      </c>
      <c r="O615" t="s">
        <v>72</v>
      </c>
    </row>
    <row r="616" spans="1:15" ht="68" x14ac:dyDescent="0.2">
      <c r="A616" t="s">
        <v>1238</v>
      </c>
      <c r="B616" t="s">
        <v>1239</v>
      </c>
      <c r="C616" s="2" t="s">
        <v>1343</v>
      </c>
      <c r="D616" t="s">
        <v>1328</v>
      </c>
      <c r="E616" t="b">
        <f t="shared" si="12"/>
        <v>1</v>
      </c>
      <c r="F616" t="str">
        <f t="shared" si="13"/>
        <v>OK</v>
      </c>
      <c r="G616" t="s">
        <v>18</v>
      </c>
      <c r="H616" s="1">
        <v>0</v>
      </c>
      <c r="I616" t="s">
        <v>1325</v>
      </c>
      <c r="K616" s="2" t="s">
        <v>1243</v>
      </c>
      <c r="M616" t="s">
        <v>35</v>
      </c>
      <c r="O616" t="s">
        <v>72</v>
      </c>
    </row>
    <row r="617" spans="1:15" ht="34" x14ac:dyDescent="0.2">
      <c r="A617" t="s">
        <v>1238</v>
      </c>
      <c r="B617" t="s">
        <v>1239</v>
      </c>
      <c r="C617" t="s">
        <v>1344</v>
      </c>
      <c r="D617" t="s">
        <v>1331</v>
      </c>
      <c r="E617" t="b">
        <f t="shared" si="12"/>
        <v>1</v>
      </c>
      <c r="F617" t="str">
        <f t="shared" si="13"/>
        <v>OK</v>
      </c>
      <c r="G617" t="s">
        <v>18</v>
      </c>
      <c r="H617" s="1">
        <v>0</v>
      </c>
      <c r="I617" t="s">
        <v>1342</v>
      </c>
      <c r="K617" s="2" t="s">
        <v>1243</v>
      </c>
      <c r="M617" t="s">
        <v>35</v>
      </c>
      <c r="O617" t="s">
        <v>72</v>
      </c>
    </row>
    <row r="618" spans="1:15" ht="34" x14ac:dyDescent="0.2">
      <c r="A618" t="s">
        <v>1238</v>
      </c>
      <c r="B618" t="s">
        <v>1239</v>
      </c>
      <c r="C618" t="s">
        <v>1345</v>
      </c>
      <c r="D618" t="s">
        <v>1331</v>
      </c>
      <c r="E618" t="b">
        <f t="shared" si="12"/>
        <v>1</v>
      </c>
      <c r="F618" t="str">
        <f t="shared" si="13"/>
        <v>OK</v>
      </c>
      <c r="G618" t="s">
        <v>18</v>
      </c>
      <c r="H618" s="1">
        <v>0</v>
      </c>
      <c r="I618" t="s">
        <v>1251</v>
      </c>
      <c r="K618" s="2" t="s">
        <v>1247</v>
      </c>
      <c r="M618" t="s">
        <v>22</v>
      </c>
      <c r="O618" t="s">
        <v>72</v>
      </c>
    </row>
    <row r="619" spans="1:15" x14ac:dyDescent="0.2">
      <c r="A619" t="s">
        <v>1346</v>
      </c>
      <c r="B619" t="s">
        <v>1346</v>
      </c>
      <c r="C619" t="s">
        <v>1347</v>
      </c>
      <c r="D619" t="s">
        <v>1348</v>
      </c>
      <c r="E619" t="b">
        <f t="shared" si="12"/>
        <v>1</v>
      </c>
      <c r="F619" t="str">
        <f t="shared" si="13"/>
        <v>OK</v>
      </c>
      <c r="G619" t="s">
        <v>30</v>
      </c>
      <c r="H619" s="1">
        <v>0.5</v>
      </c>
      <c r="I619" t="s">
        <v>1349</v>
      </c>
      <c r="K619" t="s">
        <v>270</v>
      </c>
      <c r="M619" t="s">
        <v>236</v>
      </c>
      <c r="O619" t="s">
        <v>236</v>
      </c>
    </row>
    <row r="620" spans="1:15" x14ac:dyDescent="0.2">
      <c r="A620" t="s">
        <v>1346</v>
      </c>
      <c r="B620" t="s">
        <v>1346</v>
      </c>
      <c r="C620" t="s">
        <v>1350</v>
      </c>
      <c r="D620" t="s">
        <v>1351</v>
      </c>
      <c r="E620" t="b">
        <f t="shared" si="12"/>
        <v>1</v>
      </c>
      <c r="F620" t="str">
        <f t="shared" si="13"/>
        <v>OK</v>
      </c>
      <c r="G620" t="s">
        <v>18</v>
      </c>
      <c r="H620" s="1">
        <v>0</v>
      </c>
      <c r="I620" t="s">
        <v>975</v>
      </c>
      <c r="K620" t="s">
        <v>236</v>
      </c>
      <c r="M620" t="s">
        <v>236</v>
      </c>
      <c r="O620" t="s">
        <v>236</v>
      </c>
    </row>
    <row r="621" spans="1:15" x14ac:dyDescent="0.2">
      <c r="A621" t="s">
        <v>1346</v>
      </c>
      <c r="B621" t="s">
        <v>1346</v>
      </c>
      <c r="C621" t="s">
        <v>1352</v>
      </c>
      <c r="D621" t="s">
        <v>1353</v>
      </c>
      <c r="E621" t="b">
        <f t="shared" si="12"/>
        <v>1</v>
      </c>
      <c r="F621" t="str">
        <f t="shared" si="13"/>
        <v>OK</v>
      </c>
      <c r="G621" t="s">
        <v>30</v>
      </c>
      <c r="H621" s="1">
        <v>0.05</v>
      </c>
      <c r="I621" t="s">
        <v>1354</v>
      </c>
      <c r="K621" t="s">
        <v>236</v>
      </c>
      <c r="M621" t="s">
        <v>236</v>
      </c>
      <c r="O621" t="s">
        <v>236</v>
      </c>
    </row>
    <row r="622" spans="1:15" x14ac:dyDescent="0.2">
      <c r="A622" t="s">
        <v>1346</v>
      </c>
      <c r="B622" t="s">
        <v>1346</v>
      </c>
      <c r="C622" t="s">
        <v>1355</v>
      </c>
      <c r="D622" t="s">
        <v>1356</v>
      </c>
      <c r="E622" t="b">
        <f t="shared" si="12"/>
        <v>1</v>
      </c>
      <c r="F622" t="str">
        <f t="shared" si="13"/>
        <v>OK</v>
      </c>
      <c r="G622" t="s">
        <v>30</v>
      </c>
      <c r="H622" s="1">
        <v>0.05</v>
      </c>
      <c r="I622" t="s">
        <v>733</v>
      </c>
      <c r="K622" t="s">
        <v>236</v>
      </c>
      <c r="M622" t="s">
        <v>236</v>
      </c>
      <c r="O622" t="s">
        <v>236</v>
      </c>
    </row>
    <row r="623" spans="1:15" x14ac:dyDescent="0.2">
      <c r="A623" t="s">
        <v>1346</v>
      </c>
      <c r="B623" t="s">
        <v>1346</v>
      </c>
      <c r="C623" t="s">
        <v>1357</v>
      </c>
      <c r="D623" t="s">
        <v>1358</v>
      </c>
      <c r="E623" t="b">
        <f t="shared" si="12"/>
        <v>1</v>
      </c>
      <c r="F623" t="str">
        <f t="shared" si="13"/>
        <v>OK</v>
      </c>
      <c r="G623" t="s">
        <v>30</v>
      </c>
      <c r="H623" s="1">
        <v>0</v>
      </c>
      <c r="I623" t="s">
        <v>975</v>
      </c>
      <c r="K623" t="s">
        <v>236</v>
      </c>
      <c r="M623" t="s">
        <v>236</v>
      </c>
      <c r="O623" t="s">
        <v>236</v>
      </c>
    </row>
    <row r="624" spans="1:15" x14ac:dyDescent="0.2">
      <c r="A624" t="s">
        <v>1346</v>
      </c>
      <c r="B624" t="s">
        <v>1346</v>
      </c>
      <c r="C624" t="s">
        <v>1359</v>
      </c>
      <c r="D624" t="s">
        <v>1360</v>
      </c>
      <c r="E624" t="b">
        <f t="shared" si="12"/>
        <v>1</v>
      </c>
      <c r="F624" t="str">
        <f t="shared" si="13"/>
        <v>OK</v>
      </c>
      <c r="G624" t="s">
        <v>18</v>
      </c>
      <c r="H624" s="1">
        <v>0.5</v>
      </c>
      <c r="I624" t="s">
        <v>699</v>
      </c>
      <c r="K624" t="s">
        <v>270</v>
      </c>
      <c r="M624" t="s">
        <v>236</v>
      </c>
      <c r="O624" t="s">
        <v>236</v>
      </c>
    </row>
    <row r="625" spans="1:15" x14ac:dyDescent="0.2">
      <c r="A625" t="s">
        <v>1346</v>
      </c>
      <c r="B625" t="s">
        <v>1346</v>
      </c>
      <c r="C625" t="s">
        <v>1361</v>
      </c>
      <c r="D625" t="s">
        <v>1360</v>
      </c>
      <c r="E625" t="b">
        <f t="shared" si="12"/>
        <v>1</v>
      </c>
      <c r="F625" t="str">
        <f t="shared" si="13"/>
        <v>OK</v>
      </c>
      <c r="G625" t="s">
        <v>18</v>
      </c>
      <c r="H625" s="1">
        <v>0.5</v>
      </c>
      <c r="I625" t="s">
        <v>699</v>
      </c>
      <c r="K625" t="s">
        <v>270</v>
      </c>
      <c r="M625" t="s">
        <v>236</v>
      </c>
      <c r="O625" t="s">
        <v>236</v>
      </c>
    </row>
    <row r="626" spans="1:15" x14ac:dyDescent="0.2">
      <c r="A626" t="s">
        <v>1346</v>
      </c>
      <c r="B626" t="s">
        <v>1346</v>
      </c>
      <c r="C626" t="s">
        <v>1362</v>
      </c>
      <c r="D626" t="s">
        <v>1363</v>
      </c>
      <c r="E626" t="b">
        <f t="shared" si="12"/>
        <v>1</v>
      </c>
      <c r="F626" t="str">
        <f t="shared" si="13"/>
        <v>OK</v>
      </c>
      <c r="G626" t="s">
        <v>18</v>
      </c>
      <c r="H626" s="1">
        <v>0.5</v>
      </c>
      <c r="I626" t="s">
        <v>699</v>
      </c>
      <c r="K626" t="s">
        <v>270</v>
      </c>
      <c r="M626" t="s">
        <v>236</v>
      </c>
      <c r="O626" t="s">
        <v>236</v>
      </c>
    </row>
    <row r="627" spans="1:15" x14ac:dyDescent="0.2">
      <c r="A627" t="s">
        <v>1346</v>
      </c>
      <c r="B627" t="s">
        <v>1346</v>
      </c>
      <c r="C627" t="s">
        <v>1364</v>
      </c>
      <c r="D627" t="s">
        <v>1365</v>
      </c>
      <c r="E627" t="b">
        <f t="shared" si="12"/>
        <v>1</v>
      </c>
      <c r="F627" t="str">
        <f t="shared" si="13"/>
        <v>OK</v>
      </c>
      <c r="G627" t="s">
        <v>30</v>
      </c>
      <c r="H627" s="1">
        <v>0.5</v>
      </c>
      <c r="I627" t="s">
        <v>699</v>
      </c>
      <c r="K627" t="s">
        <v>270</v>
      </c>
      <c r="M627" t="s">
        <v>236</v>
      </c>
      <c r="O627" t="s">
        <v>236</v>
      </c>
    </row>
    <row r="628" spans="1:15" x14ac:dyDescent="0.2">
      <c r="A628" t="s">
        <v>1346</v>
      </c>
      <c r="B628" t="s">
        <v>323</v>
      </c>
      <c r="C628" t="s">
        <v>1366</v>
      </c>
      <c r="D628" t="s">
        <v>1367</v>
      </c>
      <c r="E628" t="b">
        <f t="shared" si="12"/>
        <v>1</v>
      </c>
      <c r="F628" t="str">
        <f t="shared" si="13"/>
        <v>OK</v>
      </c>
      <c r="G628" t="s">
        <v>18</v>
      </c>
      <c r="H628" s="1">
        <v>0</v>
      </c>
      <c r="I628" t="s">
        <v>975</v>
      </c>
      <c r="K628" t="s">
        <v>236</v>
      </c>
      <c r="M628" t="s">
        <v>236</v>
      </c>
      <c r="O628" t="s">
        <v>236</v>
      </c>
    </row>
    <row r="629" spans="1:15" x14ac:dyDescent="0.2">
      <c r="A629" t="s">
        <v>1346</v>
      </c>
      <c r="B629" t="s">
        <v>1346</v>
      </c>
      <c r="C629" t="s">
        <v>1368</v>
      </c>
      <c r="D629" t="s">
        <v>1369</v>
      </c>
      <c r="E629" t="b">
        <f t="shared" si="12"/>
        <v>1</v>
      </c>
      <c r="F629" t="str">
        <f t="shared" si="13"/>
        <v>OK</v>
      </c>
      <c r="G629" t="s">
        <v>18</v>
      </c>
      <c r="H629" s="1">
        <v>0</v>
      </c>
      <c r="I629" t="s">
        <v>733</v>
      </c>
      <c r="K629" t="s">
        <v>236</v>
      </c>
      <c r="M629" t="s">
        <v>236</v>
      </c>
      <c r="O629" t="s">
        <v>236</v>
      </c>
    </row>
    <row r="630" spans="1:15" x14ac:dyDescent="0.2">
      <c r="A630" t="s">
        <v>1346</v>
      </c>
      <c r="B630" t="s">
        <v>1346</v>
      </c>
      <c r="C630" t="s">
        <v>1370</v>
      </c>
      <c r="D630" t="s">
        <v>1371</v>
      </c>
      <c r="E630" t="b">
        <f t="shared" si="12"/>
        <v>0</v>
      </c>
      <c r="F630" t="str">
        <f t="shared" si="13"/>
        <v>OK</v>
      </c>
      <c r="G630" t="s">
        <v>18</v>
      </c>
      <c r="H630" s="1">
        <v>0</v>
      </c>
      <c r="I630" t="s">
        <v>1173</v>
      </c>
      <c r="K630" t="s">
        <v>236</v>
      </c>
      <c r="M630" t="s">
        <v>236</v>
      </c>
      <c r="O630" t="s">
        <v>236</v>
      </c>
    </row>
    <row r="631" spans="1:15" x14ac:dyDescent="0.2">
      <c r="A631" t="s">
        <v>1372</v>
      </c>
      <c r="B631" t="s">
        <v>1373</v>
      </c>
      <c r="C631" t="s">
        <v>1374</v>
      </c>
      <c r="D631" t="s">
        <v>1664</v>
      </c>
      <c r="E631" t="b">
        <f t="shared" si="12"/>
        <v>1</v>
      </c>
      <c r="F631" t="str">
        <f t="shared" si="13"/>
        <v>OK</v>
      </c>
      <c r="G631" t="s">
        <v>18</v>
      </c>
      <c r="H631" s="1">
        <v>0.55000000000000004</v>
      </c>
      <c r="I631" t="s">
        <v>497</v>
      </c>
      <c r="K631" t="s">
        <v>1375</v>
      </c>
      <c r="M631" t="s">
        <v>1376</v>
      </c>
      <c r="O631" t="s">
        <v>1377</v>
      </c>
    </row>
    <row r="632" spans="1:15" x14ac:dyDescent="0.2">
      <c r="A632" t="s">
        <v>1372</v>
      </c>
      <c r="B632" t="s">
        <v>1373</v>
      </c>
      <c r="C632" t="s">
        <v>1378</v>
      </c>
      <c r="D632" t="s">
        <v>1663</v>
      </c>
      <c r="E632" t="b">
        <f t="shared" si="12"/>
        <v>1</v>
      </c>
      <c r="F632" t="str">
        <f t="shared" si="13"/>
        <v>OK</v>
      </c>
      <c r="G632" t="s">
        <v>30</v>
      </c>
      <c r="H632" s="1">
        <v>0.55000000000000004</v>
      </c>
      <c r="I632" t="s">
        <v>497</v>
      </c>
      <c r="K632" t="s">
        <v>1375</v>
      </c>
      <c r="M632" t="s">
        <v>1376</v>
      </c>
      <c r="O632" t="s">
        <v>1377</v>
      </c>
    </row>
    <row r="633" spans="1:15" x14ac:dyDescent="0.2">
      <c r="A633" t="s">
        <v>1372</v>
      </c>
      <c r="B633" t="s">
        <v>1373</v>
      </c>
      <c r="C633" t="s">
        <v>1379</v>
      </c>
      <c r="D633" t="s">
        <v>1637</v>
      </c>
      <c r="E633" t="b">
        <f t="shared" si="12"/>
        <v>1</v>
      </c>
      <c r="F633" t="str">
        <f t="shared" si="13"/>
        <v>OK</v>
      </c>
      <c r="G633" t="s">
        <v>18</v>
      </c>
      <c r="H633" s="1">
        <v>0.35</v>
      </c>
      <c r="I633" t="s">
        <v>497</v>
      </c>
      <c r="K633" t="s">
        <v>1375</v>
      </c>
      <c r="M633" t="s">
        <v>1376</v>
      </c>
      <c r="O633" t="s">
        <v>1377</v>
      </c>
    </row>
    <row r="634" spans="1:15" x14ac:dyDescent="0.2">
      <c r="A634" t="s">
        <v>1372</v>
      </c>
      <c r="B634" t="s">
        <v>1373</v>
      </c>
      <c r="C634" t="s">
        <v>1380</v>
      </c>
      <c r="D634" t="s">
        <v>1637</v>
      </c>
      <c r="E634" t="b">
        <f t="shared" si="12"/>
        <v>1</v>
      </c>
      <c r="F634" t="str">
        <f t="shared" si="13"/>
        <v>OK</v>
      </c>
      <c r="G634" t="s">
        <v>18</v>
      </c>
      <c r="H634" s="1">
        <v>0.65</v>
      </c>
      <c r="I634" t="s">
        <v>497</v>
      </c>
      <c r="K634" t="s">
        <v>1375</v>
      </c>
      <c r="M634" t="s">
        <v>1376</v>
      </c>
      <c r="O634" t="s">
        <v>1377</v>
      </c>
    </row>
    <row r="635" spans="1:15" x14ac:dyDescent="0.2">
      <c r="A635" t="s">
        <v>1372</v>
      </c>
      <c r="B635" t="s">
        <v>1373</v>
      </c>
      <c r="C635" t="s">
        <v>1381</v>
      </c>
      <c r="D635" t="s">
        <v>1637</v>
      </c>
      <c r="E635" t="b">
        <f t="shared" si="12"/>
        <v>1</v>
      </c>
      <c r="F635" t="str">
        <f t="shared" si="13"/>
        <v>OK</v>
      </c>
      <c r="G635" t="s">
        <v>18</v>
      </c>
      <c r="H635" s="1">
        <v>0.6</v>
      </c>
      <c r="I635" t="s">
        <v>497</v>
      </c>
      <c r="K635" t="s">
        <v>1375</v>
      </c>
      <c r="M635" t="s">
        <v>1376</v>
      </c>
      <c r="O635" t="s">
        <v>1377</v>
      </c>
    </row>
    <row r="636" spans="1:15" x14ac:dyDescent="0.2">
      <c r="A636" t="s">
        <v>1372</v>
      </c>
      <c r="B636" t="s">
        <v>1373</v>
      </c>
      <c r="C636" t="s">
        <v>1382</v>
      </c>
      <c r="D636" t="s">
        <v>1641</v>
      </c>
      <c r="E636" t="b">
        <f t="shared" si="12"/>
        <v>1</v>
      </c>
      <c r="F636" t="str">
        <f t="shared" si="13"/>
        <v>OK</v>
      </c>
      <c r="G636" t="s">
        <v>30</v>
      </c>
      <c r="H636" s="1">
        <v>0.6</v>
      </c>
      <c r="I636" t="s">
        <v>497</v>
      </c>
      <c r="K636" t="s">
        <v>1375</v>
      </c>
      <c r="M636" t="s">
        <v>1376</v>
      </c>
      <c r="O636" t="s">
        <v>1377</v>
      </c>
    </row>
    <row r="637" spans="1:15" x14ac:dyDescent="0.2">
      <c r="A637" t="s">
        <v>323</v>
      </c>
      <c r="B637" t="s">
        <v>323</v>
      </c>
      <c r="C637" t="s">
        <v>1366</v>
      </c>
      <c r="D637" t="s">
        <v>1367</v>
      </c>
      <c r="E637" t="b">
        <f t="shared" si="12"/>
        <v>1</v>
      </c>
      <c r="F637" t="str">
        <f t="shared" si="13"/>
        <v>OK</v>
      </c>
      <c r="G637" t="s">
        <v>18</v>
      </c>
      <c r="H637" s="1">
        <v>0</v>
      </c>
      <c r="I637" t="s">
        <v>975</v>
      </c>
      <c r="K637" t="s">
        <v>236</v>
      </c>
      <c r="M637" t="s">
        <v>236</v>
      </c>
      <c r="O637" t="s">
        <v>236</v>
      </c>
    </row>
    <row r="638" spans="1:15" x14ac:dyDescent="0.2">
      <c r="A638" t="s">
        <v>323</v>
      </c>
      <c r="B638" t="s">
        <v>1383</v>
      </c>
      <c r="C638" t="s">
        <v>1384</v>
      </c>
      <c r="D638" t="s">
        <v>1385</v>
      </c>
      <c r="E638" t="b">
        <f t="shared" si="12"/>
        <v>0</v>
      </c>
      <c r="F638" t="str">
        <f t="shared" si="13"/>
        <v>OK</v>
      </c>
      <c r="G638" t="s">
        <v>18</v>
      </c>
    </row>
    <row r="639" spans="1:15" x14ac:dyDescent="0.2">
      <c r="A639" t="s">
        <v>323</v>
      </c>
      <c r="B639" t="s">
        <v>1383</v>
      </c>
      <c r="C639" t="s">
        <v>1386</v>
      </c>
      <c r="D639" t="s">
        <v>1387</v>
      </c>
      <c r="E639" t="b">
        <f t="shared" si="12"/>
        <v>1</v>
      </c>
      <c r="F639" t="str">
        <f t="shared" si="13"/>
        <v>OK</v>
      </c>
      <c r="G639" t="s">
        <v>30</v>
      </c>
      <c r="H639" s="1">
        <v>0</v>
      </c>
      <c r="I639" t="s">
        <v>1197</v>
      </c>
      <c r="K639" t="s">
        <v>236</v>
      </c>
      <c r="M639" t="s">
        <v>236</v>
      </c>
      <c r="O639" t="s">
        <v>236</v>
      </c>
    </row>
    <row r="640" spans="1:15" x14ac:dyDescent="0.2">
      <c r="A640" t="s">
        <v>323</v>
      </c>
      <c r="B640" t="s">
        <v>1383</v>
      </c>
      <c r="C640" t="s">
        <v>1388</v>
      </c>
      <c r="D640" t="s">
        <v>1389</v>
      </c>
      <c r="E640" t="b">
        <f t="shared" si="12"/>
        <v>1</v>
      </c>
      <c r="F640" t="str">
        <f t="shared" si="13"/>
        <v>OK</v>
      </c>
      <c r="G640" t="s">
        <v>18</v>
      </c>
      <c r="H640" s="1">
        <v>0.55000000000000004</v>
      </c>
      <c r="I640" t="s">
        <v>699</v>
      </c>
      <c r="K640" t="s">
        <v>270</v>
      </c>
      <c r="M640" t="s">
        <v>270</v>
      </c>
      <c r="N640" t="s">
        <v>236</v>
      </c>
      <c r="O640" t="s">
        <v>270</v>
      </c>
    </row>
    <row r="641" spans="1:16" x14ac:dyDescent="0.2">
      <c r="A641" t="s">
        <v>323</v>
      </c>
      <c r="B641" t="s">
        <v>1383</v>
      </c>
      <c r="C641" t="s">
        <v>1390</v>
      </c>
      <c r="D641" t="s">
        <v>1391</v>
      </c>
      <c r="E641" t="b">
        <f t="shared" si="12"/>
        <v>1</v>
      </c>
      <c r="F641" t="str">
        <f t="shared" si="13"/>
        <v>OK</v>
      </c>
      <c r="G641" t="s">
        <v>18</v>
      </c>
      <c r="H641" s="1">
        <v>0.5</v>
      </c>
      <c r="I641" t="s">
        <v>1220</v>
      </c>
      <c r="K641" t="s">
        <v>270</v>
      </c>
      <c r="M641" t="s">
        <v>270</v>
      </c>
      <c r="O641" t="s">
        <v>236</v>
      </c>
    </row>
    <row r="642" spans="1:16" x14ac:dyDescent="0.2">
      <c r="A642" t="s">
        <v>323</v>
      </c>
      <c r="B642" t="s">
        <v>1383</v>
      </c>
      <c r="C642" t="s">
        <v>1392</v>
      </c>
      <c r="D642" t="s">
        <v>1393</v>
      </c>
      <c r="E642" t="b">
        <f t="shared" si="12"/>
        <v>0</v>
      </c>
      <c r="F642" t="str">
        <f t="shared" si="13"/>
        <v>OK</v>
      </c>
      <c r="G642" t="s">
        <v>18</v>
      </c>
      <c r="H642" s="1">
        <v>0</v>
      </c>
      <c r="I642" t="s">
        <v>1197</v>
      </c>
    </row>
    <row r="643" spans="1:16" x14ac:dyDescent="0.2">
      <c r="A643" t="s">
        <v>323</v>
      </c>
      <c r="B643" t="s">
        <v>1383</v>
      </c>
      <c r="C643" t="s">
        <v>1394</v>
      </c>
      <c r="D643" t="s">
        <v>1395</v>
      </c>
      <c r="E643" t="b">
        <f t="shared" si="12"/>
        <v>0</v>
      </c>
      <c r="F643" t="str">
        <f t="shared" si="13"/>
        <v>OK</v>
      </c>
      <c r="G643" t="s">
        <v>18</v>
      </c>
    </row>
    <row r="644" spans="1:16" x14ac:dyDescent="0.2">
      <c r="A644" t="s">
        <v>323</v>
      </c>
      <c r="B644" t="s">
        <v>1383</v>
      </c>
      <c r="C644" t="s">
        <v>1396</v>
      </c>
      <c r="D644" t="s">
        <v>1393</v>
      </c>
      <c r="E644" t="b">
        <f t="shared" si="12"/>
        <v>0</v>
      </c>
      <c r="F644" t="str">
        <f t="shared" si="13"/>
        <v>OK</v>
      </c>
      <c r="G644" t="s">
        <v>18</v>
      </c>
    </row>
    <row r="645" spans="1:16" x14ac:dyDescent="0.2">
      <c r="A645" t="s">
        <v>323</v>
      </c>
      <c r="B645" t="s">
        <v>1383</v>
      </c>
      <c r="C645" t="s">
        <v>1397</v>
      </c>
      <c r="D645" t="s">
        <v>1393</v>
      </c>
      <c r="E645" t="b">
        <f t="shared" si="12"/>
        <v>0</v>
      </c>
      <c r="F645" t="str">
        <f t="shared" si="13"/>
        <v>OK</v>
      </c>
      <c r="G645" t="s">
        <v>18</v>
      </c>
      <c r="H645" s="1">
        <v>0</v>
      </c>
      <c r="I645" t="s">
        <v>1197</v>
      </c>
    </row>
    <row r="646" spans="1:16" x14ac:dyDescent="0.2">
      <c r="A646" t="s">
        <v>323</v>
      </c>
      <c r="B646" t="s">
        <v>1383</v>
      </c>
      <c r="C646" t="s">
        <v>1398</v>
      </c>
      <c r="D646" t="s">
        <v>1399</v>
      </c>
      <c r="E646" t="b">
        <f t="shared" si="12"/>
        <v>1</v>
      </c>
      <c r="F646" t="str">
        <f t="shared" si="13"/>
        <v>OK</v>
      </c>
      <c r="G646" t="s">
        <v>18</v>
      </c>
      <c r="H646" s="1">
        <v>0</v>
      </c>
      <c r="I646" t="s">
        <v>1197</v>
      </c>
      <c r="K646" t="s">
        <v>236</v>
      </c>
      <c r="M646" t="s">
        <v>236</v>
      </c>
      <c r="O646" t="s">
        <v>236</v>
      </c>
    </row>
    <row r="647" spans="1:16" x14ac:dyDescent="0.2">
      <c r="A647" t="s">
        <v>323</v>
      </c>
      <c r="B647" t="s">
        <v>1383</v>
      </c>
      <c r="C647" t="s">
        <v>1400</v>
      </c>
      <c r="D647" t="s">
        <v>1401</v>
      </c>
      <c r="E647" t="b">
        <f t="shared" si="12"/>
        <v>1</v>
      </c>
      <c r="F647" t="str">
        <f t="shared" si="13"/>
        <v>OK</v>
      </c>
      <c r="G647" t="s">
        <v>18</v>
      </c>
      <c r="H647" s="1">
        <v>0</v>
      </c>
      <c r="I647" t="s">
        <v>1197</v>
      </c>
      <c r="K647" t="s">
        <v>236</v>
      </c>
      <c r="M647" t="s">
        <v>236</v>
      </c>
      <c r="O647" t="s">
        <v>236</v>
      </c>
    </row>
    <row r="648" spans="1:16" x14ac:dyDescent="0.2">
      <c r="A648" t="s">
        <v>323</v>
      </c>
      <c r="B648" t="s">
        <v>1383</v>
      </c>
      <c r="C648" t="s">
        <v>1402</v>
      </c>
      <c r="D648" t="s">
        <v>1401</v>
      </c>
      <c r="E648" t="b">
        <f t="shared" si="12"/>
        <v>1</v>
      </c>
      <c r="F648" t="str">
        <f t="shared" si="13"/>
        <v>OK</v>
      </c>
      <c r="G648" t="s">
        <v>18</v>
      </c>
      <c r="H648" s="1">
        <v>0</v>
      </c>
      <c r="I648" t="s">
        <v>1197</v>
      </c>
      <c r="K648" t="s">
        <v>236</v>
      </c>
      <c r="M648" t="s">
        <v>236</v>
      </c>
      <c r="O648" t="s">
        <v>236</v>
      </c>
    </row>
    <row r="649" spans="1:16" x14ac:dyDescent="0.2">
      <c r="A649" t="s">
        <v>323</v>
      </c>
      <c r="B649" t="s">
        <v>1383</v>
      </c>
      <c r="C649" t="s">
        <v>1403</v>
      </c>
      <c r="D649" t="s">
        <v>1404</v>
      </c>
      <c r="E649" t="b">
        <f t="shared" si="12"/>
        <v>1</v>
      </c>
      <c r="F649" t="str">
        <f t="shared" si="13"/>
        <v>OK</v>
      </c>
      <c r="G649" t="s">
        <v>18</v>
      </c>
      <c r="H649" s="1">
        <v>0</v>
      </c>
      <c r="I649" t="s">
        <v>1197</v>
      </c>
      <c r="K649" t="s">
        <v>236</v>
      </c>
      <c r="M649" t="s">
        <v>236</v>
      </c>
      <c r="O649" t="s">
        <v>236</v>
      </c>
    </row>
    <row r="650" spans="1:16" x14ac:dyDescent="0.2">
      <c r="A650" t="s">
        <v>323</v>
      </c>
      <c r="B650" t="s">
        <v>1383</v>
      </c>
      <c r="C650" t="s">
        <v>1405</v>
      </c>
      <c r="D650" t="s">
        <v>1406</v>
      </c>
      <c r="E650" t="b">
        <f t="shared" si="12"/>
        <v>1</v>
      </c>
      <c r="F650" t="str">
        <f t="shared" si="13"/>
        <v>OK</v>
      </c>
      <c r="G650" t="s">
        <v>18</v>
      </c>
      <c r="H650" s="1">
        <v>0</v>
      </c>
      <c r="I650" t="s">
        <v>1197</v>
      </c>
      <c r="K650" t="s">
        <v>236</v>
      </c>
      <c r="M650" t="s">
        <v>236</v>
      </c>
      <c r="O650" t="s">
        <v>236</v>
      </c>
    </row>
    <row r="651" spans="1:16" x14ac:dyDescent="0.2">
      <c r="A651" t="s">
        <v>323</v>
      </c>
      <c r="B651" t="s">
        <v>1383</v>
      </c>
      <c r="C651" t="s">
        <v>1407</v>
      </c>
      <c r="D651" t="s">
        <v>1408</v>
      </c>
      <c r="E651" t="b">
        <f t="shared" si="12"/>
        <v>1</v>
      </c>
      <c r="F651" t="str">
        <f t="shared" si="13"/>
        <v>OK</v>
      </c>
      <c r="G651" t="s">
        <v>18</v>
      </c>
      <c r="H651" s="1">
        <v>0</v>
      </c>
      <c r="I651" t="s">
        <v>1197</v>
      </c>
      <c r="K651" t="s">
        <v>236</v>
      </c>
      <c r="M651" t="s">
        <v>236</v>
      </c>
      <c r="O651" t="s">
        <v>236</v>
      </c>
    </row>
    <row r="652" spans="1:16" x14ac:dyDescent="0.2">
      <c r="A652" t="s">
        <v>323</v>
      </c>
      <c r="B652" t="s">
        <v>1383</v>
      </c>
      <c r="C652" t="s">
        <v>1409</v>
      </c>
      <c r="D652" t="s">
        <v>1410</v>
      </c>
      <c r="E652" t="b">
        <f t="shared" si="12"/>
        <v>1</v>
      </c>
      <c r="F652" t="str">
        <f t="shared" si="13"/>
        <v>OK</v>
      </c>
      <c r="G652" t="s">
        <v>18</v>
      </c>
      <c r="H652" s="1">
        <v>0</v>
      </c>
      <c r="I652" t="s">
        <v>1197</v>
      </c>
      <c r="K652" t="s">
        <v>236</v>
      </c>
      <c r="M652" t="s">
        <v>236</v>
      </c>
      <c r="O652" t="s">
        <v>236</v>
      </c>
    </row>
    <row r="653" spans="1:16" x14ac:dyDescent="0.2">
      <c r="A653" t="s">
        <v>323</v>
      </c>
      <c r="B653" t="s">
        <v>1383</v>
      </c>
      <c r="C653" t="s">
        <v>1411</v>
      </c>
      <c r="D653" t="s">
        <v>1412</v>
      </c>
      <c r="E653" t="b">
        <f t="shared" si="12"/>
        <v>1</v>
      </c>
      <c r="F653" t="str">
        <f t="shared" si="13"/>
        <v>OK</v>
      </c>
      <c r="G653" t="s">
        <v>30</v>
      </c>
      <c r="H653" s="1">
        <v>0.25</v>
      </c>
      <c r="I653" t="s">
        <v>1413</v>
      </c>
      <c r="K653" t="s">
        <v>236</v>
      </c>
      <c r="L653" t="s">
        <v>1414</v>
      </c>
      <c r="M653" t="s">
        <v>236</v>
      </c>
      <c r="N653" t="s">
        <v>270</v>
      </c>
      <c r="O653" t="s">
        <v>236</v>
      </c>
    </row>
    <row r="654" spans="1:16" x14ac:dyDescent="0.2">
      <c r="A654" t="s">
        <v>323</v>
      </c>
      <c r="B654" t="s">
        <v>1383</v>
      </c>
      <c r="C654" t="s">
        <v>1415</v>
      </c>
      <c r="D654" t="s">
        <v>1416</v>
      </c>
      <c r="E654" t="b">
        <f t="shared" si="12"/>
        <v>1</v>
      </c>
      <c r="F654" t="str">
        <f t="shared" si="13"/>
        <v>OK</v>
      </c>
      <c r="G654" t="s">
        <v>30</v>
      </c>
      <c r="H654" s="1">
        <v>0.3</v>
      </c>
      <c r="I654" t="s">
        <v>1413</v>
      </c>
      <c r="K654" t="s">
        <v>236</v>
      </c>
      <c r="L654" t="s">
        <v>1414</v>
      </c>
      <c r="M654" t="s">
        <v>236</v>
      </c>
      <c r="N654" t="s">
        <v>270</v>
      </c>
      <c r="O654" t="s">
        <v>236</v>
      </c>
      <c r="P654" t="s">
        <v>270</v>
      </c>
    </row>
    <row r="655" spans="1:16" x14ac:dyDescent="0.2">
      <c r="A655" t="s">
        <v>323</v>
      </c>
      <c r="B655" t="s">
        <v>1383</v>
      </c>
      <c r="C655" t="s">
        <v>1417</v>
      </c>
      <c r="D655" t="s">
        <v>1412</v>
      </c>
      <c r="E655" t="b">
        <f t="shared" si="12"/>
        <v>1</v>
      </c>
      <c r="F655" t="str">
        <f t="shared" si="13"/>
        <v>OK</v>
      </c>
      <c r="G655" t="s">
        <v>30</v>
      </c>
      <c r="H655" s="1">
        <v>0</v>
      </c>
      <c r="I655" t="s">
        <v>1197</v>
      </c>
      <c r="K655" t="s">
        <v>236</v>
      </c>
      <c r="M655" t="s">
        <v>236</v>
      </c>
      <c r="O655" t="s">
        <v>236</v>
      </c>
    </row>
    <row r="656" spans="1:16" x14ac:dyDescent="0.2">
      <c r="A656" t="s">
        <v>323</v>
      </c>
      <c r="B656" t="s">
        <v>1383</v>
      </c>
      <c r="C656" t="s">
        <v>1418</v>
      </c>
      <c r="D656" t="s">
        <v>1419</v>
      </c>
      <c r="E656" t="b">
        <f t="shared" si="12"/>
        <v>1</v>
      </c>
      <c r="F656" t="str">
        <f t="shared" si="13"/>
        <v>OK</v>
      </c>
      <c r="G656" t="s">
        <v>30</v>
      </c>
      <c r="H656" s="1">
        <v>0</v>
      </c>
      <c r="I656" t="s">
        <v>1197</v>
      </c>
      <c r="K656" t="s">
        <v>236</v>
      </c>
      <c r="M656" t="s">
        <v>236</v>
      </c>
      <c r="O656" t="s">
        <v>236</v>
      </c>
    </row>
    <row r="657" spans="1:16" x14ac:dyDescent="0.2">
      <c r="A657" t="s">
        <v>323</v>
      </c>
      <c r="B657" t="s">
        <v>1383</v>
      </c>
      <c r="C657" t="s">
        <v>1420</v>
      </c>
      <c r="D657" t="s">
        <v>1421</v>
      </c>
      <c r="E657" t="b">
        <f t="shared" ref="E657:E720" si="14">COUNTIF(R:R,D657)&gt;0</f>
        <v>1</v>
      </c>
      <c r="F657" t="str">
        <f t="shared" ref="F657:F720" si="15">IF(COUNTIF(C657,"*hybrid*")&gt;0,
     IF(COUNTIF(D657,"*hybrid*")&gt;0,"OK","Mismatch"),
     "OK")</f>
        <v>OK</v>
      </c>
      <c r="G657" t="s">
        <v>30</v>
      </c>
      <c r="H657" s="1">
        <v>0</v>
      </c>
      <c r="I657" t="s">
        <v>1197</v>
      </c>
      <c r="K657" t="s">
        <v>236</v>
      </c>
      <c r="M657" t="s">
        <v>236</v>
      </c>
      <c r="O657" t="s">
        <v>236</v>
      </c>
    </row>
    <row r="658" spans="1:16" x14ac:dyDescent="0.2">
      <c r="A658" t="s">
        <v>323</v>
      </c>
      <c r="B658" t="s">
        <v>1383</v>
      </c>
      <c r="C658" t="s">
        <v>1422</v>
      </c>
      <c r="D658" t="s">
        <v>1423</v>
      </c>
      <c r="E658" t="b">
        <f t="shared" si="14"/>
        <v>1</v>
      </c>
      <c r="F658" t="str">
        <f t="shared" si="15"/>
        <v>OK</v>
      </c>
      <c r="G658" t="s">
        <v>30</v>
      </c>
      <c r="H658" s="1">
        <v>0.55000000000000004</v>
      </c>
      <c r="I658" t="s">
        <v>703</v>
      </c>
      <c r="K658" t="s">
        <v>713</v>
      </c>
      <c r="L658" t="s">
        <v>236</v>
      </c>
      <c r="M658" t="s">
        <v>270</v>
      </c>
      <c r="N658" t="s">
        <v>236</v>
      </c>
      <c r="O658" t="s">
        <v>270</v>
      </c>
      <c r="P658" t="s">
        <v>236</v>
      </c>
    </row>
    <row r="659" spans="1:16" x14ac:dyDescent="0.2">
      <c r="A659" t="s">
        <v>323</v>
      </c>
      <c r="B659" t="s">
        <v>1383</v>
      </c>
      <c r="C659" t="s">
        <v>1424</v>
      </c>
      <c r="D659" t="s">
        <v>1423</v>
      </c>
      <c r="E659" t="b">
        <f t="shared" si="14"/>
        <v>1</v>
      </c>
      <c r="F659" t="str">
        <f t="shared" si="15"/>
        <v>OK</v>
      </c>
      <c r="G659" t="s">
        <v>30</v>
      </c>
      <c r="H659" s="1">
        <v>0</v>
      </c>
      <c r="I659" t="s">
        <v>1197</v>
      </c>
      <c r="K659" t="s">
        <v>236</v>
      </c>
      <c r="M659" t="s">
        <v>236</v>
      </c>
      <c r="O659" t="s">
        <v>236</v>
      </c>
    </row>
    <row r="660" spans="1:16" x14ac:dyDescent="0.2">
      <c r="A660" t="s">
        <v>323</v>
      </c>
      <c r="B660" t="s">
        <v>1383</v>
      </c>
      <c r="C660" t="s">
        <v>1425</v>
      </c>
      <c r="D660" t="s">
        <v>1426</v>
      </c>
      <c r="E660" t="b">
        <f t="shared" si="14"/>
        <v>1</v>
      </c>
      <c r="F660" t="str">
        <f t="shared" si="15"/>
        <v>OK</v>
      </c>
      <c r="G660" t="s">
        <v>30</v>
      </c>
      <c r="H660" s="1">
        <v>0.35</v>
      </c>
      <c r="I660" t="s">
        <v>1202</v>
      </c>
      <c r="K660" t="s">
        <v>713</v>
      </c>
      <c r="M660" t="s">
        <v>236</v>
      </c>
      <c r="O660" t="s">
        <v>236</v>
      </c>
    </row>
    <row r="661" spans="1:16" x14ac:dyDescent="0.2">
      <c r="A661" t="s">
        <v>323</v>
      </c>
      <c r="B661" t="s">
        <v>1383</v>
      </c>
      <c r="C661" t="s">
        <v>1427</v>
      </c>
      <c r="D661" t="s">
        <v>1426</v>
      </c>
      <c r="E661" t="b">
        <f t="shared" si="14"/>
        <v>1</v>
      </c>
      <c r="F661" t="str">
        <f t="shared" si="15"/>
        <v>OK</v>
      </c>
      <c r="G661" t="s">
        <v>30</v>
      </c>
      <c r="H661" s="1">
        <v>0</v>
      </c>
      <c r="I661" t="s">
        <v>1197</v>
      </c>
      <c r="K661" t="s">
        <v>236</v>
      </c>
      <c r="M661" t="s">
        <v>236</v>
      </c>
      <c r="O661" t="s">
        <v>236</v>
      </c>
    </row>
    <row r="662" spans="1:16" x14ac:dyDescent="0.2">
      <c r="A662" t="s">
        <v>323</v>
      </c>
      <c r="B662" t="s">
        <v>1383</v>
      </c>
      <c r="C662" t="s">
        <v>1428</v>
      </c>
      <c r="D662" t="s">
        <v>1429</v>
      </c>
      <c r="E662" t="b">
        <f t="shared" si="14"/>
        <v>1</v>
      </c>
      <c r="F662" t="str">
        <f t="shared" si="15"/>
        <v>OK</v>
      </c>
      <c r="G662" t="s">
        <v>18</v>
      </c>
      <c r="H662" s="1">
        <v>0</v>
      </c>
      <c r="I662" t="s">
        <v>1197</v>
      </c>
      <c r="K662" t="s">
        <v>236</v>
      </c>
      <c r="M662" t="s">
        <v>236</v>
      </c>
      <c r="O662" t="s">
        <v>236</v>
      </c>
    </row>
    <row r="663" spans="1:16" x14ac:dyDescent="0.2">
      <c r="A663" t="s">
        <v>323</v>
      </c>
      <c r="B663" t="s">
        <v>1383</v>
      </c>
      <c r="C663" t="s">
        <v>1430</v>
      </c>
      <c r="D663" t="s">
        <v>1431</v>
      </c>
      <c r="E663" t="b">
        <f t="shared" si="14"/>
        <v>1</v>
      </c>
      <c r="F663" t="str">
        <f t="shared" si="15"/>
        <v>OK</v>
      </c>
      <c r="G663" t="s">
        <v>18</v>
      </c>
      <c r="H663" s="1">
        <v>0</v>
      </c>
      <c r="I663" t="s">
        <v>1197</v>
      </c>
      <c r="K663" t="s">
        <v>236</v>
      </c>
      <c r="M663" t="s">
        <v>236</v>
      </c>
      <c r="O663" t="s">
        <v>236</v>
      </c>
    </row>
    <row r="664" spans="1:16" x14ac:dyDescent="0.2">
      <c r="A664" t="s">
        <v>323</v>
      </c>
      <c r="B664" t="s">
        <v>323</v>
      </c>
      <c r="C664" t="s">
        <v>1432</v>
      </c>
      <c r="D664" t="s">
        <v>1713</v>
      </c>
      <c r="E664" t="b">
        <f t="shared" si="14"/>
        <v>1</v>
      </c>
      <c r="F664" t="str">
        <f t="shared" si="15"/>
        <v>OK</v>
      </c>
      <c r="G664" t="s">
        <v>18</v>
      </c>
      <c r="H664" s="1">
        <v>0</v>
      </c>
      <c r="I664" t="s">
        <v>1197</v>
      </c>
      <c r="K664" t="s">
        <v>236</v>
      </c>
      <c r="M664" t="s">
        <v>236</v>
      </c>
      <c r="O664" t="s">
        <v>236</v>
      </c>
    </row>
    <row r="665" spans="1:16" x14ac:dyDescent="0.2">
      <c r="A665" t="s">
        <v>323</v>
      </c>
      <c r="B665" t="s">
        <v>323</v>
      </c>
      <c r="C665" t="s">
        <v>1433</v>
      </c>
      <c r="D665" t="s">
        <v>1434</v>
      </c>
      <c r="E665" t="b">
        <f t="shared" si="14"/>
        <v>1</v>
      </c>
      <c r="F665" t="str">
        <f t="shared" si="15"/>
        <v>OK</v>
      </c>
      <c r="G665" t="s">
        <v>30</v>
      </c>
      <c r="H665" s="1">
        <v>0</v>
      </c>
      <c r="I665" t="s">
        <v>1197</v>
      </c>
      <c r="K665" t="s">
        <v>236</v>
      </c>
      <c r="M665" t="s">
        <v>236</v>
      </c>
      <c r="O665" t="s">
        <v>236</v>
      </c>
    </row>
    <row r="666" spans="1:16" x14ac:dyDescent="0.2">
      <c r="A666" t="s">
        <v>323</v>
      </c>
      <c r="B666" t="s">
        <v>323</v>
      </c>
      <c r="C666" t="s">
        <v>1435</v>
      </c>
      <c r="D666" t="s">
        <v>1436</v>
      </c>
      <c r="E666" t="b">
        <f t="shared" si="14"/>
        <v>1</v>
      </c>
      <c r="F666" t="str">
        <f t="shared" si="15"/>
        <v>OK</v>
      </c>
      <c r="G666" t="s">
        <v>18</v>
      </c>
      <c r="H666" s="1">
        <v>0.55000000000000004</v>
      </c>
      <c r="I666" t="s">
        <v>694</v>
      </c>
      <c r="K666" t="s">
        <v>270</v>
      </c>
      <c r="M666" t="s">
        <v>270</v>
      </c>
      <c r="O666" t="s">
        <v>270</v>
      </c>
      <c r="P666" t="s">
        <v>55</v>
      </c>
    </row>
    <row r="667" spans="1:16" x14ac:dyDescent="0.2">
      <c r="A667" t="s">
        <v>323</v>
      </c>
      <c r="B667" t="s">
        <v>323</v>
      </c>
      <c r="C667" t="s">
        <v>1437</v>
      </c>
      <c r="D667" t="s">
        <v>1438</v>
      </c>
      <c r="E667" t="b">
        <f t="shared" si="14"/>
        <v>1</v>
      </c>
      <c r="F667" t="str">
        <f t="shared" si="15"/>
        <v>OK</v>
      </c>
      <c r="G667" t="s">
        <v>18</v>
      </c>
      <c r="H667" s="1">
        <v>0.55000000000000004</v>
      </c>
      <c r="I667" t="s">
        <v>694</v>
      </c>
      <c r="K667" t="s">
        <v>270</v>
      </c>
      <c r="M667" t="s">
        <v>270</v>
      </c>
      <c r="O667" t="s">
        <v>236</v>
      </c>
    </row>
    <row r="668" spans="1:16" x14ac:dyDescent="0.2">
      <c r="A668" t="s">
        <v>323</v>
      </c>
      <c r="B668" t="s">
        <v>323</v>
      </c>
      <c r="C668" t="s">
        <v>1439</v>
      </c>
      <c r="D668" t="s">
        <v>1440</v>
      </c>
      <c r="E668" t="b">
        <f t="shared" si="14"/>
        <v>1</v>
      </c>
      <c r="F668" t="str">
        <f t="shared" si="15"/>
        <v>OK</v>
      </c>
      <c r="G668" t="s">
        <v>18</v>
      </c>
      <c r="H668" s="1">
        <v>0.6</v>
      </c>
      <c r="I668" t="s">
        <v>694</v>
      </c>
      <c r="K668" t="s">
        <v>270</v>
      </c>
      <c r="M668" t="s">
        <v>236</v>
      </c>
      <c r="N668" t="s">
        <v>270</v>
      </c>
      <c r="O668" t="s">
        <v>236</v>
      </c>
      <c r="P668" t="s">
        <v>270</v>
      </c>
    </row>
    <row r="669" spans="1:16" x14ac:dyDescent="0.2">
      <c r="A669" t="s">
        <v>323</v>
      </c>
      <c r="B669" t="s">
        <v>323</v>
      </c>
      <c r="C669" t="s">
        <v>1441</v>
      </c>
      <c r="D669" t="s">
        <v>1442</v>
      </c>
      <c r="E669" t="b">
        <f t="shared" si="14"/>
        <v>1</v>
      </c>
      <c r="F669" t="str">
        <f t="shared" si="15"/>
        <v>OK</v>
      </c>
      <c r="G669" t="s">
        <v>18</v>
      </c>
      <c r="H669" s="1">
        <v>0</v>
      </c>
      <c r="I669" t="s">
        <v>1187</v>
      </c>
      <c r="J669" t="s">
        <v>1443</v>
      </c>
      <c r="K669" t="s">
        <v>236</v>
      </c>
      <c r="L669" t="s">
        <v>638</v>
      </c>
      <c r="M669" t="s">
        <v>236</v>
      </c>
      <c r="O669" t="s">
        <v>236</v>
      </c>
    </row>
    <row r="670" spans="1:16" x14ac:dyDescent="0.2">
      <c r="A670" t="s">
        <v>323</v>
      </c>
      <c r="B670" t="s">
        <v>323</v>
      </c>
      <c r="C670" t="s">
        <v>1444</v>
      </c>
      <c r="D670" t="s">
        <v>1445</v>
      </c>
      <c r="E670" t="b">
        <f t="shared" si="14"/>
        <v>1</v>
      </c>
      <c r="F670" t="str">
        <f t="shared" si="15"/>
        <v>OK</v>
      </c>
      <c r="G670" t="s">
        <v>18</v>
      </c>
      <c r="H670" s="1">
        <v>0.45</v>
      </c>
      <c r="I670" t="s">
        <v>1349</v>
      </c>
      <c r="K670" t="s">
        <v>270</v>
      </c>
      <c r="M670" t="s">
        <v>270</v>
      </c>
      <c r="O670" t="s">
        <v>236</v>
      </c>
    </row>
    <row r="671" spans="1:16" x14ac:dyDescent="0.2">
      <c r="A671" t="s">
        <v>323</v>
      </c>
      <c r="B671" t="s">
        <v>323</v>
      </c>
      <c r="C671" t="s">
        <v>1446</v>
      </c>
      <c r="D671" t="s">
        <v>1447</v>
      </c>
      <c r="E671" t="b">
        <f t="shared" si="14"/>
        <v>1</v>
      </c>
      <c r="F671" t="str">
        <f t="shared" si="15"/>
        <v>OK</v>
      </c>
      <c r="G671" t="s">
        <v>18</v>
      </c>
      <c r="H671" s="1">
        <v>0</v>
      </c>
      <c r="I671" t="s">
        <v>1197</v>
      </c>
      <c r="K671" t="s">
        <v>236</v>
      </c>
      <c r="M671" t="s">
        <v>236</v>
      </c>
      <c r="O671" t="s">
        <v>236</v>
      </c>
    </row>
    <row r="672" spans="1:16" x14ac:dyDescent="0.2">
      <c r="A672" t="s">
        <v>323</v>
      </c>
      <c r="B672" t="s">
        <v>323</v>
      </c>
      <c r="C672" t="s">
        <v>1448</v>
      </c>
      <c r="D672" t="s">
        <v>1449</v>
      </c>
      <c r="E672" t="b">
        <f t="shared" si="14"/>
        <v>1</v>
      </c>
      <c r="F672" t="str">
        <f t="shared" si="15"/>
        <v>OK</v>
      </c>
      <c r="G672" t="s">
        <v>18</v>
      </c>
      <c r="H672" s="1">
        <v>0.3</v>
      </c>
      <c r="I672" t="s">
        <v>1187</v>
      </c>
      <c r="K672" t="s">
        <v>270</v>
      </c>
      <c r="L672" t="s">
        <v>55</v>
      </c>
      <c r="M672" t="s">
        <v>270</v>
      </c>
      <c r="N672" t="s">
        <v>236</v>
      </c>
      <c r="O672" t="s">
        <v>236</v>
      </c>
    </row>
    <row r="673" spans="1:16" x14ac:dyDescent="0.2">
      <c r="A673" t="s">
        <v>323</v>
      </c>
      <c r="B673" t="s">
        <v>323</v>
      </c>
      <c r="C673" t="s">
        <v>1450</v>
      </c>
      <c r="D673" t="s">
        <v>1451</v>
      </c>
      <c r="E673" t="b">
        <f t="shared" si="14"/>
        <v>1</v>
      </c>
      <c r="F673" t="str">
        <f t="shared" si="15"/>
        <v>OK</v>
      </c>
      <c r="G673" t="s">
        <v>30</v>
      </c>
      <c r="H673" s="1">
        <v>0.4</v>
      </c>
      <c r="I673" t="s">
        <v>703</v>
      </c>
      <c r="K673" t="s">
        <v>270</v>
      </c>
      <c r="L673" t="s">
        <v>55</v>
      </c>
      <c r="M673" t="s">
        <v>270</v>
      </c>
      <c r="N673" t="s">
        <v>55</v>
      </c>
      <c r="O673" t="s">
        <v>236</v>
      </c>
    </row>
    <row r="674" spans="1:16" x14ac:dyDescent="0.2">
      <c r="A674" t="s">
        <v>323</v>
      </c>
      <c r="B674" t="s">
        <v>323</v>
      </c>
      <c r="C674" t="s">
        <v>1452</v>
      </c>
      <c r="D674" t="s">
        <v>1447</v>
      </c>
      <c r="E674" t="b">
        <f t="shared" si="14"/>
        <v>1</v>
      </c>
      <c r="F674" t="str">
        <f t="shared" si="15"/>
        <v>OK</v>
      </c>
      <c r="G674" t="s">
        <v>18</v>
      </c>
      <c r="H674" s="1">
        <v>0</v>
      </c>
      <c r="I674" t="s">
        <v>1197</v>
      </c>
      <c r="K674" t="s">
        <v>236</v>
      </c>
      <c r="M674" t="s">
        <v>236</v>
      </c>
      <c r="O674" t="s">
        <v>236</v>
      </c>
    </row>
    <row r="675" spans="1:16" x14ac:dyDescent="0.2">
      <c r="A675" t="s">
        <v>323</v>
      </c>
      <c r="B675" t="s">
        <v>323</v>
      </c>
      <c r="C675" t="s">
        <v>1453</v>
      </c>
      <c r="D675" t="s">
        <v>1454</v>
      </c>
      <c r="E675" t="b">
        <f t="shared" si="14"/>
        <v>1</v>
      </c>
      <c r="F675" t="str">
        <f t="shared" si="15"/>
        <v>OK</v>
      </c>
      <c r="G675" t="s">
        <v>30</v>
      </c>
      <c r="H675" s="1">
        <v>0.5</v>
      </c>
      <c r="I675" t="s">
        <v>694</v>
      </c>
      <c r="K675" t="s">
        <v>270</v>
      </c>
      <c r="M675" t="s">
        <v>270</v>
      </c>
      <c r="O675" t="s">
        <v>236</v>
      </c>
      <c r="P675" t="s">
        <v>55</v>
      </c>
    </row>
    <row r="676" spans="1:16" x14ac:dyDescent="0.2">
      <c r="A676" t="s">
        <v>323</v>
      </c>
      <c r="B676" t="s">
        <v>323</v>
      </c>
      <c r="C676" t="s">
        <v>1455</v>
      </c>
      <c r="D676" t="s">
        <v>1456</v>
      </c>
      <c r="E676" t="b">
        <f t="shared" si="14"/>
        <v>1</v>
      </c>
      <c r="F676" t="str">
        <f t="shared" si="15"/>
        <v>OK</v>
      </c>
      <c r="G676" t="s">
        <v>30</v>
      </c>
      <c r="H676" s="1">
        <v>0.4</v>
      </c>
      <c r="I676" t="s">
        <v>1349</v>
      </c>
      <c r="K676" t="s">
        <v>270</v>
      </c>
      <c r="M676" t="s">
        <v>270</v>
      </c>
      <c r="N676" t="s">
        <v>236</v>
      </c>
      <c r="O676" t="s">
        <v>236</v>
      </c>
    </row>
    <row r="677" spans="1:16" x14ac:dyDescent="0.2">
      <c r="A677" t="s">
        <v>323</v>
      </c>
      <c r="B677" t="s">
        <v>323</v>
      </c>
      <c r="C677" t="s">
        <v>1457</v>
      </c>
      <c r="D677" t="s">
        <v>1458</v>
      </c>
      <c r="E677" t="b">
        <f t="shared" si="14"/>
        <v>0</v>
      </c>
      <c r="F677" t="str">
        <f t="shared" si="15"/>
        <v>OK</v>
      </c>
      <c r="G677" t="s">
        <v>30</v>
      </c>
      <c r="H677" s="1">
        <v>0</v>
      </c>
      <c r="I677" t="s">
        <v>1197</v>
      </c>
      <c r="K677" t="s">
        <v>236</v>
      </c>
      <c r="L677" t="s">
        <v>236</v>
      </c>
      <c r="M677" t="s">
        <v>236</v>
      </c>
      <c r="O677" t="s">
        <v>236</v>
      </c>
    </row>
    <row r="678" spans="1:16" x14ac:dyDescent="0.2">
      <c r="A678" t="s">
        <v>323</v>
      </c>
      <c r="B678" t="s">
        <v>323</v>
      </c>
      <c r="C678" t="s">
        <v>1459</v>
      </c>
      <c r="D678" t="s">
        <v>1460</v>
      </c>
      <c r="E678" t="b">
        <f t="shared" si="14"/>
        <v>0</v>
      </c>
      <c r="F678" t="str">
        <f t="shared" si="15"/>
        <v>OK</v>
      </c>
      <c r="G678" t="s">
        <v>18</v>
      </c>
      <c r="H678" s="1">
        <v>0</v>
      </c>
      <c r="I678" t="s">
        <v>1197</v>
      </c>
      <c r="K678" t="s">
        <v>236</v>
      </c>
      <c r="M678" t="s">
        <v>236</v>
      </c>
      <c r="O678" t="s">
        <v>236</v>
      </c>
    </row>
    <row r="679" spans="1:16" x14ac:dyDescent="0.2">
      <c r="A679" t="s">
        <v>323</v>
      </c>
      <c r="B679" t="s">
        <v>323</v>
      </c>
      <c r="C679" t="s">
        <v>1461</v>
      </c>
      <c r="D679" t="s">
        <v>1460</v>
      </c>
      <c r="E679" t="b">
        <f t="shared" si="14"/>
        <v>0</v>
      </c>
      <c r="F679" t="str">
        <f t="shared" si="15"/>
        <v>OK</v>
      </c>
      <c r="G679" t="s">
        <v>18</v>
      </c>
    </row>
    <row r="680" spans="1:16" x14ac:dyDescent="0.2">
      <c r="A680" t="s">
        <v>323</v>
      </c>
      <c r="B680" t="s">
        <v>323</v>
      </c>
      <c r="C680" t="s">
        <v>1462</v>
      </c>
      <c r="D680" t="s">
        <v>1460</v>
      </c>
      <c r="E680" t="b">
        <f t="shared" si="14"/>
        <v>0</v>
      </c>
      <c r="F680" t="str">
        <f t="shared" si="15"/>
        <v>OK</v>
      </c>
      <c r="G680" t="s">
        <v>18</v>
      </c>
    </row>
    <row r="681" spans="1:16" x14ac:dyDescent="0.2">
      <c r="A681" t="s">
        <v>323</v>
      </c>
      <c r="B681" t="s">
        <v>323</v>
      </c>
      <c r="C681" t="s">
        <v>1463</v>
      </c>
      <c r="D681" t="s">
        <v>1636</v>
      </c>
      <c r="E681" t="b">
        <f t="shared" si="14"/>
        <v>1</v>
      </c>
      <c r="F681" t="str">
        <f t="shared" si="15"/>
        <v>OK</v>
      </c>
      <c r="G681" t="s">
        <v>18</v>
      </c>
    </row>
    <row r="682" spans="1:16" x14ac:dyDescent="0.2">
      <c r="A682" t="s">
        <v>323</v>
      </c>
      <c r="B682" t="s">
        <v>323</v>
      </c>
      <c r="C682" t="s">
        <v>1464</v>
      </c>
      <c r="D682" t="s">
        <v>1649</v>
      </c>
      <c r="E682" t="b">
        <f t="shared" si="14"/>
        <v>1</v>
      </c>
      <c r="F682" t="str">
        <f t="shared" si="15"/>
        <v>OK</v>
      </c>
      <c r="G682" t="s">
        <v>18</v>
      </c>
      <c r="H682" s="1">
        <v>0</v>
      </c>
      <c r="I682" t="s">
        <v>1197</v>
      </c>
      <c r="K682" t="s">
        <v>236</v>
      </c>
      <c r="M682" t="s">
        <v>236</v>
      </c>
      <c r="O682" t="s">
        <v>236</v>
      </c>
    </row>
    <row r="683" spans="1:16" x14ac:dyDescent="0.2">
      <c r="A683" t="s">
        <v>323</v>
      </c>
      <c r="B683" t="s">
        <v>323</v>
      </c>
      <c r="C683" t="s">
        <v>1465</v>
      </c>
      <c r="D683" t="s">
        <v>1466</v>
      </c>
      <c r="E683" t="b">
        <f t="shared" si="14"/>
        <v>1</v>
      </c>
      <c r="F683" t="str">
        <f t="shared" si="15"/>
        <v>OK</v>
      </c>
      <c r="G683" t="s">
        <v>18</v>
      </c>
      <c r="H683" s="1">
        <v>0.65</v>
      </c>
      <c r="I683" t="s">
        <v>1467</v>
      </c>
      <c r="K683" t="s">
        <v>498</v>
      </c>
      <c r="L683" t="s">
        <v>236</v>
      </c>
      <c r="M683" t="s">
        <v>270</v>
      </c>
      <c r="N683" t="s">
        <v>236</v>
      </c>
      <c r="O683" t="s">
        <v>270</v>
      </c>
      <c r="P683" t="s">
        <v>236</v>
      </c>
    </row>
    <row r="684" spans="1:16" x14ac:dyDescent="0.2">
      <c r="A684" t="s">
        <v>323</v>
      </c>
      <c r="B684" t="s">
        <v>323</v>
      </c>
      <c r="C684" t="s">
        <v>1468</v>
      </c>
      <c r="D684" t="s">
        <v>1469</v>
      </c>
      <c r="E684" t="b">
        <f t="shared" si="14"/>
        <v>1</v>
      </c>
      <c r="F684" t="str">
        <f t="shared" si="15"/>
        <v>OK</v>
      </c>
      <c r="G684" t="s">
        <v>18</v>
      </c>
      <c r="H684" s="1">
        <v>0.35</v>
      </c>
      <c r="I684" t="s">
        <v>1413</v>
      </c>
      <c r="K684" t="s">
        <v>498</v>
      </c>
      <c r="L684" t="s">
        <v>1470</v>
      </c>
      <c r="M684" t="s">
        <v>270</v>
      </c>
      <c r="N684" t="s">
        <v>55</v>
      </c>
      <c r="O684" t="s">
        <v>236</v>
      </c>
    </row>
    <row r="685" spans="1:16" x14ac:dyDescent="0.2">
      <c r="A685" t="s">
        <v>323</v>
      </c>
      <c r="B685" t="s">
        <v>323</v>
      </c>
      <c r="C685" t="s">
        <v>1471</v>
      </c>
      <c r="D685" t="s">
        <v>1682</v>
      </c>
      <c r="E685" t="b">
        <f t="shared" si="14"/>
        <v>1</v>
      </c>
      <c r="F685" t="str">
        <f t="shared" si="15"/>
        <v>OK</v>
      </c>
      <c r="G685" t="s">
        <v>18</v>
      </c>
      <c r="H685" s="1">
        <v>0</v>
      </c>
      <c r="I685" t="s">
        <v>1197</v>
      </c>
      <c r="K685" t="s">
        <v>236</v>
      </c>
      <c r="M685" t="s">
        <v>236</v>
      </c>
      <c r="O685" t="s">
        <v>236</v>
      </c>
    </row>
    <row r="686" spans="1:16" x14ac:dyDescent="0.2">
      <c r="A686" t="s">
        <v>323</v>
      </c>
      <c r="B686" t="s">
        <v>323</v>
      </c>
      <c r="C686" t="s">
        <v>1472</v>
      </c>
      <c r="D686" t="s">
        <v>1473</v>
      </c>
      <c r="E686" t="b">
        <f t="shared" si="14"/>
        <v>1</v>
      </c>
      <c r="F686" t="str">
        <f t="shared" si="15"/>
        <v>OK</v>
      </c>
      <c r="G686" t="s">
        <v>30</v>
      </c>
      <c r="H686" s="1">
        <v>0.55000000000000004</v>
      </c>
      <c r="I686" t="s">
        <v>703</v>
      </c>
      <c r="K686" t="s">
        <v>270</v>
      </c>
      <c r="M686" t="s">
        <v>270</v>
      </c>
      <c r="O686" t="s">
        <v>270</v>
      </c>
    </row>
    <row r="687" spans="1:16" x14ac:dyDescent="0.2">
      <c r="A687" t="s">
        <v>323</v>
      </c>
      <c r="B687" t="s">
        <v>323</v>
      </c>
      <c r="C687" t="s">
        <v>1474</v>
      </c>
      <c r="D687" t="s">
        <v>1475</v>
      </c>
      <c r="E687" t="b">
        <f t="shared" si="14"/>
        <v>0</v>
      </c>
      <c r="F687" t="str">
        <f t="shared" si="15"/>
        <v>OK</v>
      </c>
      <c r="G687" t="s">
        <v>30</v>
      </c>
      <c r="H687" s="1">
        <v>0.65</v>
      </c>
      <c r="I687" t="s">
        <v>703</v>
      </c>
      <c r="K687" t="s">
        <v>270</v>
      </c>
      <c r="M687" t="s">
        <v>270</v>
      </c>
      <c r="O687" t="s">
        <v>236</v>
      </c>
    </row>
    <row r="688" spans="1:16" x14ac:dyDescent="0.2">
      <c r="A688" t="s">
        <v>323</v>
      </c>
      <c r="B688" t="s">
        <v>323</v>
      </c>
      <c r="C688" t="s">
        <v>1476</v>
      </c>
      <c r="D688" t="s">
        <v>1629</v>
      </c>
      <c r="E688" t="b">
        <f t="shared" si="14"/>
        <v>1</v>
      </c>
      <c r="F688" t="str">
        <f t="shared" si="15"/>
        <v>OK</v>
      </c>
      <c r="G688" t="s">
        <v>30</v>
      </c>
      <c r="H688" s="1">
        <v>0.55000000000000004</v>
      </c>
      <c r="I688" t="s">
        <v>703</v>
      </c>
      <c r="K688" t="s">
        <v>270</v>
      </c>
      <c r="M688" t="s">
        <v>270</v>
      </c>
      <c r="O688" t="s">
        <v>236</v>
      </c>
    </row>
    <row r="689" spans="1:16" x14ac:dyDescent="0.2">
      <c r="A689" t="s">
        <v>323</v>
      </c>
      <c r="B689" t="s">
        <v>323</v>
      </c>
      <c r="C689" t="s">
        <v>1477</v>
      </c>
      <c r="D689" t="s">
        <v>1478</v>
      </c>
      <c r="E689" t="b">
        <f t="shared" si="14"/>
        <v>1</v>
      </c>
      <c r="F689" t="str">
        <f t="shared" si="15"/>
        <v>OK</v>
      </c>
      <c r="G689" t="s">
        <v>416</v>
      </c>
      <c r="H689" s="1">
        <v>0.5</v>
      </c>
      <c r="I689" t="s">
        <v>694</v>
      </c>
      <c r="K689" t="s">
        <v>270</v>
      </c>
      <c r="L689" t="s">
        <v>487</v>
      </c>
      <c r="M689" t="s">
        <v>270</v>
      </c>
      <c r="N689" t="s">
        <v>236</v>
      </c>
      <c r="O689" t="s">
        <v>270</v>
      </c>
      <c r="P689" t="s">
        <v>640</v>
      </c>
    </row>
    <row r="690" spans="1:16" x14ac:dyDescent="0.2">
      <c r="A690" t="s">
        <v>323</v>
      </c>
      <c r="B690" t="s">
        <v>323</v>
      </c>
      <c r="C690" t="s">
        <v>1479</v>
      </c>
      <c r="D690" t="s">
        <v>1480</v>
      </c>
      <c r="E690" t="b">
        <f t="shared" si="14"/>
        <v>1</v>
      </c>
      <c r="F690" t="str">
        <f t="shared" si="15"/>
        <v>OK</v>
      </c>
      <c r="G690" t="s">
        <v>416</v>
      </c>
      <c r="H690" s="1">
        <v>0.5</v>
      </c>
      <c r="I690" t="s">
        <v>694</v>
      </c>
      <c r="K690" t="s">
        <v>270</v>
      </c>
      <c r="M690" t="s">
        <v>270</v>
      </c>
      <c r="O690" t="s">
        <v>270</v>
      </c>
    </row>
    <row r="691" spans="1:16" x14ac:dyDescent="0.2">
      <c r="A691" t="s">
        <v>323</v>
      </c>
      <c r="B691" t="s">
        <v>323</v>
      </c>
      <c r="C691" t="s">
        <v>1481</v>
      </c>
      <c r="D691" t="s">
        <v>1482</v>
      </c>
      <c r="E691" t="b">
        <f t="shared" si="14"/>
        <v>1</v>
      </c>
      <c r="F691" t="str">
        <f t="shared" si="15"/>
        <v>OK</v>
      </c>
      <c r="G691" t="s">
        <v>416</v>
      </c>
      <c r="H691" s="1">
        <v>0.65</v>
      </c>
      <c r="I691" t="s">
        <v>694</v>
      </c>
      <c r="K691" t="s">
        <v>270</v>
      </c>
      <c r="M691" t="s">
        <v>270</v>
      </c>
      <c r="O691" t="s">
        <v>270</v>
      </c>
    </row>
    <row r="692" spans="1:16" x14ac:dyDescent="0.2">
      <c r="A692" t="s">
        <v>323</v>
      </c>
      <c r="B692" t="s">
        <v>323</v>
      </c>
      <c r="C692" t="s">
        <v>1483</v>
      </c>
      <c r="D692" t="s">
        <v>1671</v>
      </c>
      <c r="E692" t="b">
        <f t="shared" si="14"/>
        <v>1</v>
      </c>
      <c r="F692" t="str">
        <f t="shared" si="15"/>
        <v>OK</v>
      </c>
      <c r="G692" t="s">
        <v>18</v>
      </c>
      <c r="H692" s="1">
        <v>0</v>
      </c>
      <c r="I692" t="s">
        <v>1197</v>
      </c>
      <c r="K692" t="s">
        <v>236</v>
      </c>
      <c r="M692" t="s">
        <v>236</v>
      </c>
      <c r="O692" t="s">
        <v>236</v>
      </c>
    </row>
    <row r="693" spans="1:16" x14ac:dyDescent="0.2">
      <c r="A693" t="s">
        <v>323</v>
      </c>
      <c r="B693" t="s">
        <v>323</v>
      </c>
      <c r="C693" t="s">
        <v>1484</v>
      </c>
      <c r="D693" t="s">
        <v>966</v>
      </c>
      <c r="E693" t="b">
        <f t="shared" si="14"/>
        <v>0</v>
      </c>
      <c r="F693" t="str">
        <f t="shared" si="15"/>
        <v>OK</v>
      </c>
      <c r="G693" t="s">
        <v>18</v>
      </c>
    </row>
    <row r="694" spans="1:16" x14ac:dyDescent="0.2">
      <c r="A694" t="s">
        <v>1485</v>
      </c>
      <c r="B694" t="s">
        <v>1485</v>
      </c>
      <c r="C694" t="s">
        <v>1486</v>
      </c>
      <c r="D694" t="s">
        <v>1487</v>
      </c>
      <c r="E694" t="b">
        <f t="shared" si="14"/>
        <v>1</v>
      </c>
      <c r="F694" t="str">
        <f t="shared" si="15"/>
        <v>OK</v>
      </c>
      <c r="G694" t="s">
        <v>18</v>
      </c>
      <c r="H694" s="1">
        <v>0.01</v>
      </c>
      <c r="I694" t="s">
        <v>1488</v>
      </c>
      <c r="K694" t="s">
        <v>22</v>
      </c>
      <c r="M694" t="s">
        <v>35</v>
      </c>
      <c r="O694" t="s">
        <v>22</v>
      </c>
    </row>
    <row r="695" spans="1:16" x14ac:dyDescent="0.2">
      <c r="A695" t="s">
        <v>1485</v>
      </c>
      <c r="B695" t="s">
        <v>1485</v>
      </c>
      <c r="C695" t="s">
        <v>1489</v>
      </c>
      <c r="D695" t="s">
        <v>1487</v>
      </c>
      <c r="E695" t="b">
        <f t="shared" si="14"/>
        <v>1</v>
      </c>
      <c r="F695" t="str">
        <f t="shared" si="15"/>
        <v>OK</v>
      </c>
      <c r="G695" t="s">
        <v>18</v>
      </c>
      <c r="H695" s="1">
        <v>0.01</v>
      </c>
      <c r="I695" t="s">
        <v>1488</v>
      </c>
      <c r="K695" t="s">
        <v>22</v>
      </c>
      <c r="M695" t="s">
        <v>35</v>
      </c>
      <c r="O695" t="s">
        <v>22</v>
      </c>
    </row>
    <row r="696" spans="1:16" x14ac:dyDescent="0.2">
      <c r="A696" t="s">
        <v>1485</v>
      </c>
      <c r="B696" t="s">
        <v>1485</v>
      </c>
      <c r="C696" t="s">
        <v>1490</v>
      </c>
      <c r="D696" t="s">
        <v>1491</v>
      </c>
      <c r="E696" t="b">
        <f t="shared" si="14"/>
        <v>1</v>
      </c>
      <c r="F696" t="str">
        <f t="shared" si="15"/>
        <v>OK</v>
      </c>
      <c r="G696" t="s">
        <v>30</v>
      </c>
      <c r="H696" s="1">
        <v>0.48</v>
      </c>
      <c r="I696" t="s">
        <v>1492</v>
      </c>
      <c r="K696" t="s">
        <v>1376</v>
      </c>
      <c r="M696" t="s">
        <v>1493</v>
      </c>
      <c r="O696" t="s">
        <v>135</v>
      </c>
    </row>
    <row r="697" spans="1:16" x14ac:dyDescent="0.2">
      <c r="A697" t="s">
        <v>1485</v>
      </c>
      <c r="B697" t="s">
        <v>1485</v>
      </c>
      <c r="C697" t="s">
        <v>1494</v>
      </c>
      <c r="D697" t="s">
        <v>1491</v>
      </c>
      <c r="E697" t="b">
        <f t="shared" si="14"/>
        <v>1</v>
      </c>
      <c r="F697" t="str">
        <f t="shared" si="15"/>
        <v>OK</v>
      </c>
      <c r="G697" t="s">
        <v>30</v>
      </c>
      <c r="H697" s="1">
        <v>0.47</v>
      </c>
      <c r="I697" t="s">
        <v>1495</v>
      </c>
      <c r="J697" t="s">
        <v>55</v>
      </c>
      <c r="K697" t="s">
        <v>1376</v>
      </c>
      <c r="M697" t="s">
        <v>1493</v>
      </c>
      <c r="O697" t="s">
        <v>135</v>
      </c>
    </row>
    <row r="698" spans="1:16" x14ac:dyDescent="0.2">
      <c r="A698" t="s">
        <v>1485</v>
      </c>
      <c r="B698" t="s">
        <v>1485</v>
      </c>
      <c r="C698" t="s">
        <v>1496</v>
      </c>
      <c r="D698" t="s">
        <v>1491</v>
      </c>
      <c r="E698" t="b">
        <f t="shared" si="14"/>
        <v>1</v>
      </c>
      <c r="F698" t="str">
        <f t="shared" si="15"/>
        <v>OK</v>
      </c>
      <c r="G698" t="s">
        <v>30</v>
      </c>
      <c r="H698" s="1">
        <v>0.47</v>
      </c>
      <c r="I698" t="s">
        <v>1497</v>
      </c>
      <c r="J698" t="s">
        <v>891</v>
      </c>
      <c r="K698" t="s">
        <v>1376</v>
      </c>
      <c r="M698" t="s">
        <v>1498</v>
      </c>
      <c r="O698" t="s">
        <v>135</v>
      </c>
    </row>
    <row r="699" spans="1:16" x14ac:dyDescent="0.2">
      <c r="A699" t="s">
        <v>1485</v>
      </c>
      <c r="B699" t="s">
        <v>1485</v>
      </c>
      <c r="C699" t="s">
        <v>1499</v>
      </c>
      <c r="D699" t="s">
        <v>1491</v>
      </c>
      <c r="E699" t="b">
        <f t="shared" si="14"/>
        <v>1</v>
      </c>
      <c r="F699" t="str">
        <f t="shared" si="15"/>
        <v>OK</v>
      </c>
      <c r="G699" t="s">
        <v>30</v>
      </c>
      <c r="H699" s="1">
        <v>0.46</v>
      </c>
      <c r="I699" t="s">
        <v>1497</v>
      </c>
      <c r="J699" t="s">
        <v>156</v>
      </c>
      <c r="K699" t="s">
        <v>1376</v>
      </c>
      <c r="M699" t="s">
        <v>1498</v>
      </c>
      <c r="O699" t="s">
        <v>135</v>
      </c>
    </row>
    <row r="700" spans="1:16" x14ac:dyDescent="0.2">
      <c r="A700" t="s">
        <v>1485</v>
      </c>
      <c r="B700" t="s">
        <v>1485</v>
      </c>
      <c r="C700" t="s">
        <v>1500</v>
      </c>
      <c r="D700" t="s">
        <v>1501</v>
      </c>
      <c r="E700" t="b">
        <f t="shared" si="14"/>
        <v>1</v>
      </c>
      <c r="F700" t="str">
        <f t="shared" si="15"/>
        <v>OK</v>
      </c>
      <c r="G700" t="s">
        <v>30</v>
      </c>
      <c r="H700" s="1">
        <v>0.46</v>
      </c>
      <c r="I700" t="s">
        <v>1502</v>
      </c>
      <c r="J700" t="s">
        <v>55</v>
      </c>
      <c r="K700" t="s">
        <v>1376</v>
      </c>
      <c r="M700" t="s">
        <v>1493</v>
      </c>
      <c r="O700" t="s">
        <v>135</v>
      </c>
    </row>
    <row r="701" spans="1:16" x14ac:dyDescent="0.2">
      <c r="A701" t="s">
        <v>1485</v>
      </c>
      <c r="B701" t="s">
        <v>1485</v>
      </c>
      <c r="C701" t="s">
        <v>1503</v>
      </c>
      <c r="D701" t="s">
        <v>1501</v>
      </c>
      <c r="E701" t="b">
        <f t="shared" si="14"/>
        <v>1</v>
      </c>
      <c r="F701" t="str">
        <f t="shared" si="15"/>
        <v>OK</v>
      </c>
      <c r="G701" t="s">
        <v>30</v>
      </c>
      <c r="H701" s="1">
        <v>0.44</v>
      </c>
      <c r="I701" t="s">
        <v>1504</v>
      </c>
      <c r="J701" t="s">
        <v>55</v>
      </c>
      <c r="K701" t="s">
        <v>1376</v>
      </c>
      <c r="M701" t="s">
        <v>1493</v>
      </c>
      <c r="O701" t="s">
        <v>135</v>
      </c>
    </row>
    <row r="702" spans="1:16" x14ac:dyDescent="0.2">
      <c r="A702" t="s">
        <v>1485</v>
      </c>
      <c r="B702" t="s">
        <v>1485</v>
      </c>
      <c r="C702" t="s">
        <v>1505</v>
      </c>
      <c r="D702" t="s">
        <v>1501</v>
      </c>
      <c r="E702" t="b">
        <f t="shared" si="14"/>
        <v>1</v>
      </c>
      <c r="F702" t="str">
        <f t="shared" si="15"/>
        <v>OK</v>
      </c>
      <c r="G702" t="s">
        <v>30</v>
      </c>
      <c r="H702" s="1">
        <v>0.45</v>
      </c>
      <c r="I702" t="s">
        <v>375</v>
      </c>
      <c r="J702" t="s">
        <v>891</v>
      </c>
      <c r="K702" t="s">
        <v>1376</v>
      </c>
      <c r="M702" t="s">
        <v>1498</v>
      </c>
      <c r="O702" t="s">
        <v>135</v>
      </c>
    </row>
    <row r="703" spans="1:16" x14ac:dyDescent="0.2">
      <c r="A703" t="s">
        <v>1485</v>
      </c>
      <c r="B703" t="s">
        <v>1485</v>
      </c>
      <c r="C703" t="s">
        <v>1506</v>
      </c>
      <c r="D703" t="s">
        <v>1501</v>
      </c>
      <c r="E703" t="b">
        <f t="shared" si="14"/>
        <v>1</v>
      </c>
      <c r="F703" t="str">
        <f t="shared" si="15"/>
        <v>OK</v>
      </c>
      <c r="G703" t="s">
        <v>30</v>
      </c>
      <c r="H703" s="1">
        <v>0.44</v>
      </c>
      <c r="I703" t="s">
        <v>425</v>
      </c>
      <c r="J703" t="s">
        <v>156</v>
      </c>
      <c r="K703" t="s">
        <v>1376</v>
      </c>
      <c r="M703" t="s">
        <v>1498</v>
      </c>
      <c r="O703" t="s">
        <v>135</v>
      </c>
    </row>
    <row r="704" spans="1:16" x14ac:dyDescent="0.2">
      <c r="A704" t="s">
        <v>1485</v>
      </c>
      <c r="B704" t="s">
        <v>1485</v>
      </c>
      <c r="C704" t="s">
        <v>1507</v>
      </c>
      <c r="D704" t="s">
        <v>1508</v>
      </c>
      <c r="E704" t="b">
        <f t="shared" si="14"/>
        <v>1</v>
      </c>
      <c r="F704" t="str">
        <f t="shared" si="15"/>
        <v>OK</v>
      </c>
      <c r="G704" t="s">
        <v>18</v>
      </c>
      <c r="H704" s="1">
        <v>0.01</v>
      </c>
      <c r="I704" t="s">
        <v>266</v>
      </c>
      <c r="J704" t="s">
        <v>123</v>
      </c>
      <c r="K704" t="s">
        <v>22</v>
      </c>
      <c r="M704" t="s">
        <v>35</v>
      </c>
      <c r="O704" t="s">
        <v>22</v>
      </c>
    </row>
    <row r="705" spans="1:15" x14ac:dyDescent="0.2">
      <c r="A705" t="s">
        <v>1485</v>
      </c>
      <c r="B705" t="s">
        <v>1485</v>
      </c>
      <c r="C705" t="s">
        <v>1509</v>
      </c>
      <c r="D705" t="s">
        <v>1508</v>
      </c>
      <c r="E705" t="b">
        <f t="shared" si="14"/>
        <v>1</v>
      </c>
      <c r="F705" t="str">
        <f t="shared" si="15"/>
        <v>OK</v>
      </c>
      <c r="G705" t="s">
        <v>18</v>
      </c>
      <c r="H705" s="1">
        <v>0.01</v>
      </c>
      <c r="I705" t="s">
        <v>1510</v>
      </c>
      <c r="J705" t="s">
        <v>123</v>
      </c>
      <c r="K705" t="s">
        <v>22</v>
      </c>
      <c r="M705" t="s">
        <v>35</v>
      </c>
      <c r="O705" t="s">
        <v>22</v>
      </c>
    </row>
    <row r="706" spans="1:15" x14ac:dyDescent="0.2">
      <c r="A706" t="s">
        <v>1485</v>
      </c>
      <c r="B706" t="s">
        <v>1485</v>
      </c>
      <c r="C706" t="s">
        <v>1511</v>
      </c>
      <c r="D706" t="s">
        <v>1651</v>
      </c>
      <c r="E706" t="b">
        <f t="shared" si="14"/>
        <v>1</v>
      </c>
      <c r="F706" t="str">
        <f t="shared" si="15"/>
        <v>OK</v>
      </c>
      <c r="G706" t="s">
        <v>18</v>
      </c>
      <c r="H706" s="1">
        <v>0.01</v>
      </c>
      <c r="I706" t="s">
        <v>1512</v>
      </c>
      <c r="J706" t="s">
        <v>1513</v>
      </c>
      <c r="K706" t="s">
        <v>22</v>
      </c>
      <c r="M706" t="s">
        <v>35</v>
      </c>
      <c r="N706" t="s">
        <v>55</v>
      </c>
      <c r="O706" t="s">
        <v>22</v>
      </c>
    </row>
    <row r="707" spans="1:15" x14ac:dyDescent="0.2">
      <c r="A707" t="s">
        <v>1485</v>
      </c>
      <c r="B707" t="s">
        <v>1485</v>
      </c>
      <c r="C707" t="s">
        <v>1514</v>
      </c>
      <c r="D707" t="s">
        <v>1651</v>
      </c>
      <c r="E707" t="b">
        <f t="shared" si="14"/>
        <v>1</v>
      </c>
      <c r="F707" t="str">
        <f t="shared" si="15"/>
        <v>OK</v>
      </c>
      <c r="G707" t="s">
        <v>18</v>
      </c>
      <c r="H707" s="1">
        <v>0.01</v>
      </c>
      <c r="I707" t="s">
        <v>1515</v>
      </c>
      <c r="J707" t="s">
        <v>123</v>
      </c>
      <c r="K707" t="s">
        <v>22</v>
      </c>
      <c r="M707" t="s">
        <v>35</v>
      </c>
      <c r="N707" t="s">
        <v>55</v>
      </c>
      <c r="O707" t="s">
        <v>22</v>
      </c>
    </row>
    <row r="708" spans="1:15" x14ac:dyDescent="0.2">
      <c r="A708" t="s">
        <v>1485</v>
      </c>
      <c r="B708" t="s">
        <v>1485</v>
      </c>
      <c r="C708" t="s">
        <v>1516</v>
      </c>
      <c r="D708" t="s">
        <v>1685</v>
      </c>
      <c r="E708" t="b">
        <f t="shared" si="14"/>
        <v>1</v>
      </c>
      <c r="F708" t="str">
        <f t="shared" si="15"/>
        <v>OK</v>
      </c>
      <c r="G708" t="s">
        <v>30</v>
      </c>
      <c r="H708" s="1">
        <v>0.01</v>
      </c>
      <c r="I708" t="s">
        <v>1517</v>
      </c>
      <c r="J708" t="s">
        <v>230</v>
      </c>
      <c r="K708" t="s">
        <v>22</v>
      </c>
      <c r="M708" t="s">
        <v>1518</v>
      </c>
      <c r="O708" t="s">
        <v>22</v>
      </c>
    </row>
    <row r="709" spans="1:15" x14ac:dyDescent="0.2">
      <c r="A709" t="s">
        <v>1485</v>
      </c>
      <c r="B709" t="s">
        <v>1485</v>
      </c>
      <c r="C709" t="s">
        <v>1519</v>
      </c>
      <c r="D709" t="s">
        <v>1685</v>
      </c>
      <c r="E709" t="b">
        <f t="shared" si="14"/>
        <v>1</v>
      </c>
      <c r="F709" t="str">
        <f t="shared" si="15"/>
        <v>OK</v>
      </c>
      <c r="G709" t="s">
        <v>30</v>
      </c>
      <c r="H709" s="1">
        <v>0.01</v>
      </c>
      <c r="I709" t="s">
        <v>1517</v>
      </c>
      <c r="J709" t="s">
        <v>1520</v>
      </c>
      <c r="K709" t="s">
        <v>22</v>
      </c>
      <c r="M709" t="s">
        <v>1518</v>
      </c>
      <c r="O709" t="s">
        <v>22</v>
      </c>
    </row>
    <row r="710" spans="1:15" x14ac:dyDescent="0.2">
      <c r="A710" t="s">
        <v>1485</v>
      </c>
      <c r="B710" t="s">
        <v>1485</v>
      </c>
      <c r="C710" t="s">
        <v>1521</v>
      </c>
      <c r="D710" t="s">
        <v>1685</v>
      </c>
      <c r="E710" t="b">
        <f t="shared" si="14"/>
        <v>1</v>
      </c>
      <c r="F710" t="str">
        <f t="shared" si="15"/>
        <v>OK</v>
      </c>
      <c r="G710" t="s">
        <v>30</v>
      </c>
      <c r="H710" s="1">
        <v>0</v>
      </c>
      <c r="I710" t="s">
        <v>1030</v>
      </c>
      <c r="J710" t="s">
        <v>55</v>
      </c>
      <c r="K710" t="s">
        <v>22</v>
      </c>
      <c r="M710" t="s">
        <v>1518</v>
      </c>
      <c r="O710" t="s">
        <v>22</v>
      </c>
    </row>
    <row r="711" spans="1:15" x14ac:dyDescent="0.2">
      <c r="A711" t="s">
        <v>1485</v>
      </c>
      <c r="B711" t="s">
        <v>1485</v>
      </c>
      <c r="C711" t="s">
        <v>1522</v>
      </c>
      <c r="D711" t="s">
        <v>1685</v>
      </c>
      <c r="E711" t="b">
        <f t="shared" si="14"/>
        <v>1</v>
      </c>
      <c r="F711" t="str">
        <f t="shared" si="15"/>
        <v>OK</v>
      </c>
      <c r="G711" t="s">
        <v>30</v>
      </c>
      <c r="H711" s="1">
        <v>0</v>
      </c>
      <c r="I711" t="s">
        <v>1523</v>
      </c>
      <c r="J711" t="s">
        <v>55</v>
      </c>
      <c r="K711" t="s">
        <v>22</v>
      </c>
      <c r="M711" t="s">
        <v>1518</v>
      </c>
      <c r="O711" t="s">
        <v>22</v>
      </c>
    </row>
    <row r="712" spans="1:15" x14ac:dyDescent="0.2">
      <c r="A712" t="s">
        <v>1485</v>
      </c>
      <c r="B712" t="s">
        <v>1485</v>
      </c>
      <c r="C712" t="s">
        <v>1524</v>
      </c>
      <c r="D712" t="s">
        <v>1525</v>
      </c>
      <c r="E712" t="b">
        <f t="shared" si="14"/>
        <v>1</v>
      </c>
      <c r="F712" t="str">
        <f t="shared" si="15"/>
        <v>OK</v>
      </c>
      <c r="G712" t="s">
        <v>18</v>
      </c>
      <c r="H712" s="1">
        <v>0.04</v>
      </c>
      <c r="I712" t="s">
        <v>1526</v>
      </c>
      <c r="J712" t="s">
        <v>55</v>
      </c>
      <c r="K712" t="s">
        <v>146</v>
      </c>
      <c r="M712" t="s">
        <v>146</v>
      </c>
      <c r="O712" t="s">
        <v>135</v>
      </c>
    </row>
    <row r="713" spans="1:15" x14ac:dyDescent="0.2">
      <c r="A713" t="s">
        <v>1485</v>
      </c>
      <c r="B713" t="s">
        <v>1485</v>
      </c>
      <c r="C713" t="s">
        <v>1527</v>
      </c>
      <c r="D713" t="s">
        <v>1525</v>
      </c>
      <c r="E713" t="b">
        <f t="shared" si="14"/>
        <v>1</v>
      </c>
      <c r="F713" t="str">
        <f t="shared" si="15"/>
        <v>OK</v>
      </c>
      <c r="G713" t="s">
        <v>18</v>
      </c>
      <c r="H713" s="1">
        <v>0.04</v>
      </c>
      <c r="I713" t="s">
        <v>1495</v>
      </c>
      <c r="J713" t="s">
        <v>55</v>
      </c>
      <c r="K713" t="s">
        <v>146</v>
      </c>
      <c r="M713" t="s">
        <v>146</v>
      </c>
      <c r="O713" t="s">
        <v>135</v>
      </c>
    </row>
    <row r="714" spans="1:15" x14ac:dyDescent="0.2">
      <c r="A714" t="s">
        <v>1485</v>
      </c>
      <c r="B714" t="s">
        <v>1485</v>
      </c>
      <c r="C714" t="s">
        <v>1528</v>
      </c>
      <c r="D714" t="s">
        <v>1525</v>
      </c>
      <c r="E714" t="b">
        <f t="shared" si="14"/>
        <v>1</v>
      </c>
      <c r="F714" t="str">
        <f t="shared" si="15"/>
        <v>OK</v>
      </c>
      <c r="G714" t="s">
        <v>18</v>
      </c>
      <c r="H714" s="1">
        <v>0.04</v>
      </c>
      <c r="I714" t="s">
        <v>431</v>
      </c>
      <c r="J714" t="s">
        <v>156</v>
      </c>
      <c r="K714" t="s">
        <v>146</v>
      </c>
      <c r="M714" t="s">
        <v>146</v>
      </c>
      <c r="O714" t="s">
        <v>22</v>
      </c>
    </row>
    <row r="715" spans="1:15" x14ac:dyDescent="0.2">
      <c r="A715" t="s">
        <v>1485</v>
      </c>
      <c r="B715" t="s">
        <v>1485</v>
      </c>
      <c r="C715" t="s">
        <v>1529</v>
      </c>
      <c r="D715" t="s">
        <v>1525</v>
      </c>
      <c r="E715" t="b">
        <f t="shared" si="14"/>
        <v>1</v>
      </c>
      <c r="F715" t="str">
        <f t="shared" si="15"/>
        <v>OK</v>
      </c>
      <c r="G715" t="s">
        <v>18</v>
      </c>
      <c r="H715" s="1">
        <v>0.04</v>
      </c>
      <c r="I715" t="s">
        <v>431</v>
      </c>
      <c r="J715" t="s">
        <v>20</v>
      </c>
      <c r="K715" t="s">
        <v>146</v>
      </c>
      <c r="M715" t="s">
        <v>146</v>
      </c>
      <c r="O715" t="s">
        <v>22</v>
      </c>
    </row>
    <row r="716" spans="1:15" x14ac:dyDescent="0.2">
      <c r="A716" t="s">
        <v>1485</v>
      </c>
      <c r="B716" t="s">
        <v>1485</v>
      </c>
      <c r="C716" t="s">
        <v>1530</v>
      </c>
      <c r="D716" t="s">
        <v>1531</v>
      </c>
      <c r="E716" t="b">
        <f t="shared" si="14"/>
        <v>1</v>
      </c>
      <c r="F716" t="str">
        <f t="shared" si="15"/>
        <v>OK</v>
      </c>
      <c r="G716" t="s">
        <v>18</v>
      </c>
      <c r="H716" s="1">
        <v>0.28000000000000003</v>
      </c>
      <c r="I716" t="s">
        <v>1532</v>
      </c>
      <c r="J716" t="s">
        <v>55</v>
      </c>
      <c r="K716" t="s">
        <v>1376</v>
      </c>
      <c r="M716" t="s">
        <v>146</v>
      </c>
      <c r="O716" t="s">
        <v>135</v>
      </c>
    </row>
    <row r="717" spans="1:15" x14ac:dyDescent="0.2">
      <c r="A717" t="s">
        <v>1485</v>
      </c>
      <c r="B717" t="s">
        <v>1485</v>
      </c>
      <c r="C717" t="s">
        <v>1533</v>
      </c>
      <c r="D717" t="s">
        <v>1534</v>
      </c>
      <c r="E717" t="b">
        <f t="shared" si="14"/>
        <v>1</v>
      </c>
      <c r="F717" t="str">
        <f t="shared" si="15"/>
        <v>OK</v>
      </c>
      <c r="G717" t="s">
        <v>30</v>
      </c>
      <c r="H717" s="1">
        <v>0.03</v>
      </c>
      <c r="I717" t="s">
        <v>431</v>
      </c>
      <c r="K717" t="s">
        <v>146</v>
      </c>
      <c r="M717" t="s">
        <v>146</v>
      </c>
      <c r="O717" t="s">
        <v>135</v>
      </c>
    </row>
    <row r="718" spans="1:15" x14ac:dyDescent="0.2">
      <c r="A718" t="s">
        <v>1485</v>
      </c>
      <c r="B718" t="s">
        <v>1485</v>
      </c>
      <c r="C718" t="s">
        <v>1535</v>
      </c>
      <c r="D718" t="s">
        <v>1534</v>
      </c>
      <c r="E718" t="b">
        <f t="shared" si="14"/>
        <v>1</v>
      </c>
      <c r="F718" t="str">
        <f t="shared" si="15"/>
        <v>OK</v>
      </c>
      <c r="G718" t="s">
        <v>30</v>
      </c>
      <c r="H718" s="1">
        <v>0.04</v>
      </c>
      <c r="I718" t="s">
        <v>1492</v>
      </c>
      <c r="J718" t="s">
        <v>156</v>
      </c>
      <c r="K718" t="s">
        <v>146</v>
      </c>
      <c r="M718" t="s">
        <v>146</v>
      </c>
      <c r="O718" t="s">
        <v>22</v>
      </c>
    </row>
    <row r="719" spans="1:15" x14ac:dyDescent="0.2">
      <c r="A719" t="s">
        <v>1485</v>
      </c>
      <c r="B719" t="s">
        <v>1485</v>
      </c>
      <c r="C719" t="s">
        <v>1536</v>
      </c>
      <c r="D719" t="s">
        <v>1537</v>
      </c>
      <c r="E719" t="b">
        <f t="shared" si="14"/>
        <v>1</v>
      </c>
      <c r="F719" t="str">
        <f t="shared" si="15"/>
        <v>OK</v>
      </c>
      <c r="G719" t="s">
        <v>30</v>
      </c>
      <c r="H719" s="1">
        <v>0.05</v>
      </c>
      <c r="I719" t="s">
        <v>1495</v>
      </c>
      <c r="K719" t="s">
        <v>146</v>
      </c>
      <c r="M719" t="s">
        <v>146</v>
      </c>
      <c r="O719" t="s">
        <v>135</v>
      </c>
    </row>
    <row r="720" spans="1:15" x14ac:dyDescent="0.2">
      <c r="A720" t="s">
        <v>1485</v>
      </c>
      <c r="B720" t="s">
        <v>1485</v>
      </c>
      <c r="C720" t="s">
        <v>1538</v>
      </c>
      <c r="D720" t="s">
        <v>1537</v>
      </c>
      <c r="E720" t="b">
        <f t="shared" si="14"/>
        <v>1</v>
      </c>
      <c r="F720" t="str">
        <f t="shared" si="15"/>
        <v>OK</v>
      </c>
      <c r="G720" t="s">
        <v>30</v>
      </c>
      <c r="H720" s="1">
        <v>0.04</v>
      </c>
      <c r="I720" t="s">
        <v>431</v>
      </c>
      <c r="K720" t="s">
        <v>146</v>
      </c>
      <c r="M720" t="s">
        <v>146</v>
      </c>
      <c r="O720" t="s">
        <v>135</v>
      </c>
    </row>
    <row r="721" spans="1:15" x14ac:dyDescent="0.2">
      <c r="A721" t="s">
        <v>1539</v>
      </c>
      <c r="B721" t="s">
        <v>1539</v>
      </c>
      <c r="C721" t="s">
        <v>1540</v>
      </c>
      <c r="D721" t="s">
        <v>1541</v>
      </c>
      <c r="E721" t="b">
        <f t="shared" ref="E721:E771" si="16">COUNTIF(R:R,D721)&gt;0</f>
        <v>1</v>
      </c>
      <c r="F721" t="str">
        <f t="shared" ref="F721:F771" si="17">IF(COUNTIF(C721,"*hybrid*")&gt;0,
     IF(COUNTIF(D721,"*hybrid*")&gt;0,"OK","Mismatch"),
     "OK")</f>
        <v>OK</v>
      </c>
      <c r="G721" t="s">
        <v>18</v>
      </c>
      <c r="H721" s="1">
        <v>0.35</v>
      </c>
      <c r="I721" t="s">
        <v>1232</v>
      </c>
      <c r="J721" t="s">
        <v>1542</v>
      </c>
      <c r="K721" t="s">
        <v>1376</v>
      </c>
      <c r="L721" t="s">
        <v>55</v>
      </c>
      <c r="M721" t="s">
        <v>1233</v>
      </c>
      <c r="N721" t="s">
        <v>55</v>
      </c>
      <c r="O721" t="s">
        <v>135</v>
      </c>
    </row>
    <row r="722" spans="1:15" x14ac:dyDescent="0.2">
      <c r="A722" t="s">
        <v>1539</v>
      </c>
      <c r="B722" t="s">
        <v>1539</v>
      </c>
      <c r="C722" t="s">
        <v>1543</v>
      </c>
      <c r="D722" t="s">
        <v>1541</v>
      </c>
      <c r="E722" t="b">
        <f t="shared" si="16"/>
        <v>1</v>
      </c>
      <c r="F722" t="str">
        <f t="shared" si="17"/>
        <v>OK</v>
      </c>
      <c r="G722" t="s">
        <v>18</v>
      </c>
      <c r="H722" s="1">
        <v>0.35</v>
      </c>
      <c r="I722" t="s">
        <v>1544</v>
      </c>
      <c r="J722" t="s">
        <v>1542</v>
      </c>
      <c r="K722" t="s">
        <v>1376</v>
      </c>
      <c r="L722" t="s">
        <v>55</v>
      </c>
      <c r="M722" t="s">
        <v>1233</v>
      </c>
      <c r="N722" t="s">
        <v>55</v>
      </c>
      <c r="O722" t="s">
        <v>135</v>
      </c>
    </row>
    <row r="723" spans="1:15" x14ac:dyDescent="0.2">
      <c r="A723" t="s">
        <v>1539</v>
      </c>
      <c r="B723" t="s">
        <v>1539</v>
      </c>
      <c r="C723" t="s">
        <v>1545</v>
      </c>
      <c r="D723" t="s">
        <v>1541</v>
      </c>
      <c r="E723" t="b">
        <f t="shared" si="16"/>
        <v>1</v>
      </c>
      <c r="F723" t="str">
        <f t="shared" si="17"/>
        <v>OK</v>
      </c>
      <c r="G723" t="s">
        <v>18</v>
      </c>
      <c r="H723" s="1">
        <v>0.35</v>
      </c>
      <c r="I723" t="s">
        <v>1544</v>
      </c>
      <c r="J723" t="s">
        <v>1542</v>
      </c>
      <c r="K723" t="s">
        <v>1376</v>
      </c>
      <c r="L723" t="s">
        <v>55</v>
      </c>
      <c r="M723" t="s">
        <v>1233</v>
      </c>
      <c r="N723" t="s">
        <v>55</v>
      </c>
      <c r="O723" t="s">
        <v>135</v>
      </c>
    </row>
    <row r="724" spans="1:15" x14ac:dyDescent="0.2">
      <c r="A724" t="s">
        <v>1539</v>
      </c>
      <c r="B724" t="s">
        <v>1539</v>
      </c>
      <c r="C724" t="s">
        <v>1546</v>
      </c>
      <c r="D724" t="s">
        <v>1541</v>
      </c>
      <c r="E724" t="b">
        <f t="shared" si="16"/>
        <v>1</v>
      </c>
      <c r="F724" t="str">
        <f t="shared" si="17"/>
        <v>OK</v>
      </c>
      <c r="G724" t="s">
        <v>18</v>
      </c>
      <c r="H724" s="1">
        <v>0.3</v>
      </c>
      <c r="I724" t="s">
        <v>1232</v>
      </c>
      <c r="J724" t="s">
        <v>1542</v>
      </c>
      <c r="K724" t="s">
        <v>1376</v>
      </c>
      <c r="L724" t="s">
        <v>55</v>
      </c>
      <c r="M724" t="s">
        <v>1233</v>
      </c>
      <c r="N724" t="s">
        <v>55</v>
      </c>
      <c r="O724" t="s">
        <v>135</v>
      </c>
    </row>
    <row r="725" spans="1:15" x14ac:dyDescent="0.2">
      <c r="A725" t="s">
        <v>1539</v>
      </c>
      <c r="B725" t="s">
        <v>1539</v>
      </c>
      <c r="C725" t="s">
        <v>1547</v>
      </c>
      <c r="D725" t="s">
        <v>1541</v>
      </c>
      <c r="E725" t="b">
        <f t="shared" si="16"/>
        <v>1</v>
      </c>
      <c r="F725" t="str">
        <f t="shared" si="17"/>
        <v>OK</v>
      </c>
      <c r="G725" t="s">
        <v>18</v>
      </c>
      <c r="H725" s="1">
        <v>0.3</v>
      </c>
      <c r="I725" t="s">
        <v>1232</v>
      </c>
      <c r="J725" t="s">
        <v>1542</v>
      </c>
      <c r="K725" t="s">
        <v>1376</v>
      </c>
      <c r="L725" t="s">
        <v>55</v>
      </c>
      <c r="M725" t="s">
        <v>1233</v>
      </c>
      <c r="N725" t="s">
        <v>55</v>
      </c>
      <c r="O725" t="s">
        <v>135</v>
      </c>
    </row>
    <row r="726" spans="1:15" x14ac:dyDescent="0.2">
      <c r="A726" t="s">
        <v>1539</v>
      </c>
      <c r="B726" t="s">
        <v>1539</v>
      </c>
      <c r="C726" t="s">
        <v>1548</v>
      </c>
      <c r="D726" t="s">
        <v>1541</v>
      </c>
      <c r="E726" t="b">
        <f t="shared" si="16"/>
        <v>1</v>
      </c>
      <c r="F726" t="str">
        <f t="shared" si="17"/>
        <v>OK</v>
      </c>
      <c r="G726" t="s">
        <v>18</v>
      </c>
      <c r="H726" s="1">
        <v>0.3</v>
      </c>
      <c r="I726" t="s">
        <v>1544</v>
      </c>
      <c r="J726" t="s">
        <v>1542</v>
      </c>
      <c r="K726" t="s">
        <v>1376</v>
      </c>
      <c r="L726" t="s">
        <v>55</v>
      </c>
      <c r="M726" t="s">
        <v>1233</v>
      </c>
      <c r="N726" t="s">
        <v>55</v>
      </c>
      <c r="O726" t="s">
        <v>135</v>
      </c>
    </row>
    <row r="727" spans="1:15" x14ac:dyDescent="0.2">
      <c r="A727" t="s">
        <v>1539</v>
      </c>
      <c r="B727" t="s">
        <v>1539</v>
      </c>
      <c r="C727" t="s">
        <v>1549</v>
      </c>
      <c r="D727" t="s">
        <v>1550</v>
      </c>
      <c r="E727" t="b">
        <f t="shared" si="16"/>
        <v>1</v>
      </c>
      <c r="F727" t="str">
        <f t="shared" si="17"/>
        <v>OK</v>
      </c>
      <c r="G727" t="s">
        <v>18</v>
      </c>
      <c r="H727" s="1">
        <v>0.25</v>
      </c>
      <c r="I727" t="s">
        <v>1544</v>
      </c>
      <c r="J727" t="s">
        <v>1551</v>
      </c>
      <c r="K727" t="s">
        <v>1376</v>
      </c>
      <c r="L727" t="s">
        <v>55</v>
      </c>
      <c r="M727" t="s">
        <v>1233</v>
      </c>
      <c r="N727" t="s">
        <v>55</v>
      </c>
      <c r="O727" t="s">
        <v>135</v>
      </c>
    </row>
    <row r="728" spans="1:15" x14ac:dyDescent="0.2">
      <c r="A728" t="s">
        <v>1539</v>
      </c>
      <c r="B728" t="s">
        <v>1539</v>
      </c>
      <c r="C728" t="s">
        <v>1552</v>
      </c>
      <c r="D728" t="s">
        <v>1550</v>
      </c>
      <c r="E728" t="b">
        <f t="shared" si="16"/>
        <v>1</v>
      </c>
      <c r="F728" t="str">
        <f t="shared" si="17"/>
        <v>OK</v>
      </c>
      <c r="G728" t="s">
        <v>18</v>
      </c>
      <c r="H728" s="1">
        <v>0.25</v>
      </c>
      <c r="I728" t="s">
        <v>1544</v>
      </c>
      <c r="J728" t="s">
        <v>1551</v>
      </c>
      <c r="K728" t="s">
        <v>1376</v>
      </c>
      <c r="L728" t="s">
        <v>55</v>
      </c>
      <c r="M728" t="s">
        <v>1233</v>
      </c>
      <c r="N728" t="s">
        <v>55</v>
      </c>
      <c r="O728" t="s">
        <v>135</v>
      </c>
    </row>
    <row r="729" spans="1:15" x14ac:dyDescent="0.2">
      <c r="A729" t="s">
        <v>1539</v>
      </c>
      <c r="B729" t="s">
        <v>1539</v>
      </c>
      <c r="C729" t="s">
        <v>1553</v>
      </c>
      <c r="D729" t="s">
        <v>1550</v>
      </c>
      <c r="E729" t="b">
        <f t="shared" si="16"/>
        <v>1</v>
      </c>
      <c r="F729" t="str">
        <f t="shared" si="17"/>
        <v>OK</v>
      </c>
      <c r="G729" t="s">
        <v>18</v>
      </c>
      <c r="H729" s="1">
        <v>0.25</v>
      </c>
      <c r="I729" t="s">
        <v>1544</v>
      </c>
      <c r="J729" t="s">
        <v>1551</v>
      </c>
      <c r="K729" t="s">
        <v>1376</v>
      </c>
      <c r="L729" t="s">
        <v>55</v>
      </c>
      <c r="M729" t="s">
        <v>1233</v>
      </c>
      <c r="N729" t="s">
        <v>55</v>
      </c>
      <c r="O729" t="s">
        <v>135</v>
      </c>
    </row>
    <row r="730" spans="1:15" x14ac:dyDescent="0.2">
      <c r="A730" t="s">
        <v>1539</v>
      </c>
      <c r="B730" t="s">
        <v>1539</v>
      </c>
      <c r="C730" t="s">
        <v>1554</v>
      </c>
      <c r="D730" t="s">
        <v>1550</v>
      </c>
      <c r="E730" t="b">
        <f t="shared" si="16"/>
        <v>1</v>
      </c>
      <c r="F730" t="str">
        <f t="shared" si="17"/>
        <v>OK</v>
      </c>
      <c r="G730" t="s">
        <v>18</v>
      </c>
      <c r="H730" s="1">
        <v>0.25</v>
      </c>
      <c r="I730" t="s">
        <v>1544</v>
      </c>
      <c r="J730" t="s">
        <v>1555</v>
      </c>
      <c r="K730" t="s">
        <v>1376</v>
      </c>
      <c r="L730" t="s">
        <v>55</v>
      </c>
      <c r="M730" t="s">
        <v>1233</v>
      </c>
      <c r="N730" t="s">
        <v>55</v>
      </c>
      <c r="O730" t="s">
        <v>135</v>
      </c>
    </row>
    <row r="731" spans="1:15" x14ac:dyDescent="0.2">
      <c r="A731" t="s">
        <v>1539</v>
      </c>
      <c r="B731" t="s">
        <v>1539</v>
      </c>
      <c r="C731" t="s">
        <v>1556</v>
      </c>
      <c r="D731" t="s">
        <v>1557</v>
      </c>
      <c r="E731" t="b">
        <f t="shared" si="16"/>
        <v>1</v>
      </c>
      <c r="F731" t="str">
        <f t="shared" si="17"/>
        <v>OK</v>
      </c>
      <c r="G731" t="s">
        <v>18</v>
      </c>
      <c r="H731" s="1">
        <v>0.01</v>
      </c>
      <c r="I731" t="s">
        <v>1558</v>
      </c>
      <c r="J731" t="s">
        <v>48</v>
      </c>
      <c r="K731" t="s">
        <v>1233</v>
      </c>
      <c r="L731" t="s">
        <v>55</v>
      </c>
      <c r="M731" t="s">
        <v>1233</v>
      </c>
      <c r="N731" t="s">
        <v>55</v>
      </c>
      <c r="O731" t="s">
        <v>135</v>
      </c>
    </row>
    <row r="732" spans="1:15" x14ac:dyDescent="0.2">
      <c r="A732" t="s">
        <v>1539</v>
      </c>
      <c r="B732" t="s">
        <v>1539</v>
      </c>
      <c r="C732" t="s">
        <v>1559</v>
      </c>
      <c r="D732" t="s">
        <v>1560</v>
      </c>
      <c r="E732" t="b">
        <f t="shared" si="16"/>
        <v>1</v>
      </c>
      <c r="F732" t="str">
        <f t="shared" si="17"/>
        <v>OK</v>
      </c>
      <c r="G732" t="s">
        <v>18</v>
      </c>
      <c r="H732" s="1">
        <v>0.01</v>
      </c>
      <c r="I732" t="s">
        <v>1561</v>
      </c>
      <c r="J732" t="s">
        <v>1467</v>
      </c>
      <c r="K732" t="s">
        <v>541</v>
      </c>
      <c r="L732" t="s">
        <v>55</v>
      </c>
      <c r="M732" t="s">
        <v>1233</v>
      </c>
      <c r="N732" t="s">
        <v>55</v>
      </c>
      <c r="O732" t="s">
        <v>135</v>
      </c>
    </row>
    <row r="733" spans="1:15" x14ac:dyDescent="0.2">
      <c r="A733" t="s">
        <v>1539</v>
      </c>
      <c r="B733" t="s">
        <v>1539</v>
      </c>
      <c r="C733" t="s">
        <v>1562</v>
      </c>
      <c r="D733" t="s">
        <v>1560</v>
      </c>
      <c r="E733" t="b">
        <f t="shared" si="16"/>
        <v>1</v>
      </c>
      <c r="F733" t="str">
        <f t="shared" si="17"/>
        <v>OK</v>
      </c>
      <c r="G733" t="s">
        <v>18</v>
      </c>
      <c r="H733" s="1">
        <v>0.01</v>
      </c>
      <c r="I733" t="s">
        <v>1561</v>
      </c>
      <c r="J733" t="s">
        <v>1467</v>
      </c>
      <c r="K733" t="s">
        <v>541</v>
      </c>
      <c r="L733" t="s">
        <v>55</v>
      </c>
      <c r="M733" t="s">
        <v>1233</v>
      </c>
      <c r="N733" t="s">
        <v>55</v>
      </c>
      <c r="O733" t="s">
        <v>135</v>
      </c>
    </row>
    <row r="734" spans="1:15" x14ac:dyDescent="0.2">
      <c r="A734" t="s">
        <v>1539</v>
      </c>
      <c r="B734" t="s">
        <v>1539</v>
      </c>
      <c r="C734" t="s">
        <v>1563</v>
      </c>
      <c r="D734" t="s">
        <v>1560</v>
      </c>
      <c r="E734" t="b">
        <f t="shared" si="16"/>
        <v>1</v>
      </c>
      <c r="F734" t="str">
        <f t="shared" si="17"/>
        <v>OK</v>
      </c>
      <c r="G734" t="s">
        <v>18</v>
      </c>
      <c r="H734" s="1">
        <v>0.01</v>
      </c>
      <c r="I734" t="s">
        <v>1561</v>
      </c>
      <c r="J734" t="s">
        <v>1564</v>
      </c>
      <c r="K734" t="s">
        <v>541</v>
      </c>
      <c r="L734" t="s">
        <v>55</v>
      </c>
      <c r="M734" t="s">
        <v>1233</v>
      </c>
      <c r="N734" t="s">
        <v>55</v>
      </c>
      <c r="O734" t="s">
        <v>135</v>
      </c>
    </row>
    <row r="735" spans="1:15" x14ac:dyDescent="0.2">
      <c r="A735" t="s">
        <v>1539</v>
      </c>
      <c r="B735" t="s">
        <v>1539</v>
      </c>
      <c r="C735" t="s">
        <v>1565</v>
      </c>
      <c r="D735" t="s">
        <v>1566</v>
      </c>
      <c r="E735" t="b">
        <f t="shared" si="16"/>
        <v>1</v>
      </c>
      <c r="F735" t="str">
        <f t="shared" si="17"/>
        <v>OK</v>
      </c>
      <c r="G735" t="s">
        <v>18</v>
      </c>
      <c r="H735" s="1">
        <v>0.01</v>
      </c>
      <c r="I735" t="s">
        <v>1567</v>
      </c>
      <c r="J735" t="s">
        <v>1551</v>
      </c>
      <c r="K735" t="s">
        <v>541</v>
      </c>
      <c r="L735" t="s">
        <v>55</v>
      </c>
      <c r="M735" t="s">
        <v>1233</v>
      </c>
      <c r="N735" t="s">
        <v>55</v>
      </c>
      <c r="O735" t="s">
        <v>135</v>
      </c>
    </row>
    <row r="736" spans="1:15" x14ac:dyDescent="0.2">
      <c r="A736" t="s">
        <v>1539</v>
      </c>
      <c r="B736" t="s">
        <v>1539</v>
      </c>
      <c r="C736" t="s">
        <v>1565</v>
      </c>
      <c r="D736" t="s">
        <v>1566</v>
      </c>
      <c r="E736" t="b">
        <f t="shared" si="16"/>
        <v>1</v>
      </c>
      <c r="F736" t="str">
        <f t="shared" si="17"/>
        <v>OK</v>
      </c>
      <c r="G736" t="s">
        <v>18</v>
      </c>
      <c r="H736" s="1">
        <v>0.01</v>
      </c>
      <c r="I736" t="s">
        <v>1567</v>
      </c>
      <c r="J736" t="s">
        <v>1551</v>
      </c>
      <c r="K736" t="s">
        <v>541</v>
      </c>
      <c r="L736" t="s">
        <v>55</v>
      </c>
      <c r="M736" t="s">
        <v>1233</v>
      </c>
      <c r="N736" t="s">
        <v>55</v>
      </c>
      <c r="O736" t="s">
        <v>135</v>
      </c>
    </row>
    <row r="737" spans="1:15" x14ac:dyDescent="0.2">
      <c r="A737" t="s">
        <v>1539</v>
      </c>
      <c r="B737" t="s">
        <v>1539</v>
      </c>
      <c r="C737" t="s">
        <v>1568</v>
      </c>
      <c r="D737" t="s">
        <v>1569</v>
      </c>
      <c r="E737" t="b">
        <f t="shared" si="16"/>
        <v>0</v>
      </c>
      <c r="F737" t="str">
        <f t="shared" si="17"/>
        <v>OK</v>
      </c>
      <c r="G737" t="s">
        <v>18</v>
      </c>
      <c r="H737" s="1">
        <v>0.01</v>
      </c>
      <c r="I737" t="s">
        <v>1558</v>
      </c>
      <c r="J737" t="s">
        <v>1570</v>
      </c>
      <c r="K737" t="s">
        <v>1233</v>
      </c>
      <c r="L737" t="s">
        <v>55</v>
      </c>
      <c r="M737" t="s">
        <v>1233</v>
      </c>
      <c r="N737" t="s">
        <v>55</v>
      </c>
      <c r="O737" t="s">
        <v>135</v>
      </c>
    </row>
    <row r="738" spans="1:15" x14ac:dyDescent="0.2">
      <c r="A738" t="s">
        <v>1539</v>
      </c>
      <c r="B738" t="s">
        <v>1539</v>
      </c>
      <c r="C738" t="s">
        <v>1571</v>
      </c>
      <c r="D738" t="s">
        <v>1569</v>
      </c>
      <c r="E738" t="b">
        <f t="shared" si="16"/>
        <v>0</v>
      </c>
      <c r="F738" t="str">
        <f t="shared" si="17"/>
        <v>OK</v>
      </c>
      <c r="G738" t="s">
        <v>18</v>
      </c>
      <c r="H738" s="1">
        <v>0.01</v>
      </c>
      <c r="I738" t="s">
        <v>1572</v>
      </c>
      <c r="J738" t="s">
        <v>1570</v>
      </c>
      <c r="K738" t="s">
        <v>1233</v>
      </c>
      <c r="L738" t="s">
        <v>55</v>
      </c>
      <c r="M738" t="s">
        <v>1233</v>
      </c>
      <c r="N738" t="s">
        <v>55</v>
      </c>
      <c r="O738" t="s">
        <v>135</v>
      </c>
    </row>
    <row r="739" spans="1:15" x14ac:dyDescent="0.2">
      <c r="A739" t="s">
        <v>1539</v>
      </c>
      <c r="B739" t="s">
        <v>1539</v>
      </c>
      <c r="C739" t="s">
        <v>1573</v>
      </c>
      <c r="D739" t="s">
        <v>1574</v>
      </c>
      <c r="E739" t="b">
        <f t="shared" si="16"/>
        <v>1</v>
      </c>
      <c r="F739" t="str">
        <f t="shared" si="17"/>
        <v>OK</v>
      </c>
      <c r="G739" t="s">
        <v>30</v>
      </c>
      <c r="H739" s="1">
        <v>0.01</v>
      </c>
      <c r="I739" t="s">
        <v>1575</v>
      </c>
      <c r="J739" t="s">
        <v>1576</v>
      </c>
      <c r="K739" t="s">
        <v>1233</v>
      </c>
      <c r="L739" t="s">
        <v>55</v>
      </c>
      <c r="M739" t="s">
        <v>1233</v>
      </c>
      <c r="N739" t="s">
        <v>55</v>
      </c>
      <c r="O739" t="s">
        <v>135</v>
      </c>
    </row>
    <row r="740" spans="1:15" x14ac:dyDescent="0.2">
      <c r="A740" t="s">
        <v>1539</v>
      </c>
      <c r="B740" t="s">
        <v>1539</v>
      </c>
      <c r="C740" t="s">
        <v>1577</v>
      </c>
      <c r="D740" t="s">
        <v>1578</v>
      </c>
      <c r="E740" t="b">
        <f t="shared" si="16"/>
        <v>1</v>
      </c>
      <c r="F740" t="str">
        <f t="shared" si="17"/>
        <v>OK</v>
      </c>
      <c r="G740" t="s">
        <v>30</v>
      </c>
      <c r="H740" s="1">
        <v>0.01</v>
      </c>
      <c r="I740" t="s">
        <v>1579</v>
      </c>
      <c r="J740" t="s">
        <v>1580</v>
      </c>
      <c r="K740" t="s">
        <v>1233</v>
      </c>
      <c r="L740" t="s">
        <v>55</v>
      </c>
      <c r="M740" t="s">
        <v>1233</v>
      </c>
      <c r="N740" t="s">
        <v>55</v>
      </c>
      <c r="O740" t="s">
        <v>135</v>
      </c>
    </row>
    <row r="741" spans="1:15" x14ac:dyDescent="0.2">
      <c r="A741" t="s">
        <v>1539</v>
      </c>
      <c r="B741" t="s">
        <v>1539</v>
      </c>
      <c r="C741" t="s">
        <v>1581</v>
      </c>
      <c r="D741" t="s">
        <v>1582</v>
      </c>
      <c r="E741" t="b">
        <f t="shared" si="16"/>
        <v>1</v>
      </c>
      <c r="F741" t="str">
        <f t="shared" si="17"/>
        <v>OK</v>
      </c>
      <c r="G741" t="s">
        <v>30</v>
      </c>
      <c r="H741" s="1">
        <v>0.01</v>
      </c>
      <c r="I741" t="s">
        <v>1232</v>
      </c>
      <c r="J741" t="s">
        <v>1583</v>
      </c>
      <c r="K741" t="s">
        <v>33</v>
      </c>
      <c r="L741" t="s">
        <v>55</v>
      </c>
      <c r="M741" t="s">
        <v>1233</v>
      </c>
      <c r="N741" t="s">
        <v>55</v>
      </c>
      <c r="O741" t="s">
        <v>135</v>
      </c>
    </row>
    <row r="742" spans="1:15" x14ac:dyDescent="0.2">
      <c r="A742" t="s">
        <v>1539</v>
      </c>
      <c r="B742" t="s">
        <v>1539</v>
      </c>
      <c r="C742" t="s">
        <v>1584</v>
      </c>
      <c r="D742" t="s">
        <v>1582</v>
      </c>
      <c r="E742" t="b">
        <f t="shared" si="16"/>
        <v>1</v>
      </c>
      <c r="F742" t="str">
        <f t="shared" si="17"/>
        <v>OK</v>
      </c>
      <c r="G742" t="s">
        <v>30</v>
      </c>
      <c r="H742" s="1">
        <v>0.01</v>
      </c>
      <c r="I742" t="s">
        <v>1583</v>
      </c>
      <c r="J742" t="s">
        <v>1232</v>
      </c>
      <c r="K742" t="s">
        <v>33</v>
      </c>
      <c r="L742" t="s">
        <v>55</v>
      </c>
      <c r="M742" t="s">
        <v>1233</v>
      </c>
      <c r="N742" t="s">
        <v>55</v>
      </c>
      <c r="O742" t="s">
        <v>135</v>
      </c>
    </row>
    <row r="743" spans="1:15" x14ac:dyDescent="0.2">
      <c r="A743" t="s">
        <v>1539</v>
      </c>
      <c r="B743" t="s">
        <v>1539</v>
      </c>
      <c r="C743" t="s">
        <v>1585</v>
      </c>
      <c r="D743" t="s">
        <v>1582</v>
      </c>
      <c r="E743" t="b">
        <f t="shared" si="16"/>
        <v>1</v>
      </c>
      <c r="F743" t="str">
        <f t="shared" si="17"/>
        <v>OK</v>
      </c>
      <c r="G743" t="s">
        <v>30</v>
      </c>
      <c r="H743" s="1">
        <v>0.01</v>
      </c>
      <c r="I743" t="s">
        <v>1583</v>
      </c>
      <c r="J743" t="s">
        <v>1232</v>
      </c>
      <c r="K743" t="s">
        <v>33</v>
      </c>
      <c r="L743" t="s">
        <v>55</v>
      </c>
      <c r="M743" t="s">
        <v>1233</v>
      </c>
      <c r="N743" t="s">
        <v>55</v>
      </c>
      <c r="O743" t="s">
        <v>135</v>
      </c>
    </row>
    <row r="744" spans="1:15" x14ac:dyDescent="0.2">
      <c r="A744" t="s">
        <v>1539</v>
      </c>
      <c r="B744" t="s">
        <v>1539</v>
      </c>
      <c r="C744" t="s">
        <v>1586</v>
      </c>
      <c r="D744" t="s">
        <v>1582</v>
      </c>
      <c r="E744" t="b">
        <f t="shared" si="16"/>
        <v>1</v>
      </c>
      <c r="F744" t="str">
        <f t="shared" si="17"/>
        <v>OK</v>
      </c>
      <c r="G744" t="s">
        <v>30</v>
      </c>
      <c r="H744" s="1">
        <v>0.01</v>
      </c>
      <c r="I744" t="s">
        <v>1587</v>
      </c>
      <c r="J744" t="s">
        <v>1588</v>
      </c>
      <c r="K744" t="s">
        <v>33</v>
      </c>
      <c r="L744" t="s">
        <v>55</v>
      </c>
      <c r="M744" t="s">
        <v>1233</v>
      </c>
      <c r="N744" t="s">
        <v>55</v>
      </c>
      <c r="O744" t="s">
        <v>135</v>
      </c>
    </row>
    <row r="745" spans="1:15" x14ac:dyDescent="0.2">
      <c r="A745" t="s">
        <v>1539</v>
      </c>
      <c r="B745" t="s">
        <v>1539</v>
      </c>
      <c r="C745" t="s">
        <v>1589</v>
      </c>
      <c r="D745" t="s">
        <v>1582</v>
      </c>
      <c r="E745" t="b">
        <f t="shared" si="16"/>
        <v>1</v>
      </c>
      <c r="F745" t="str">
        <f t="shared" si="17"/>
        <v>OK</v>
      </c>
      <c r="G745" t="s">
        <v>30</v>
      </c>
      <c r="H745" s="1">
        <v>0.01</v>
      </c>
      <c r="I745" t="s">
        <v>1587</v>
      </c>
      <c r="J745" t="s">
        <v>1588</v>
      </c>
      <c r="K745" t="s">
        <v>33</v>
      </c>
      <c r="L745" t="s">
        <v>55</v>
      </c>
      <c r="M745" t="s">
        <v>1233</v>
      </c>
      <c r="N745" t="s">
        <v>55</v>
      </c>
      <c r="O745" t="s">
        <v>135</v>
      </c>
    </row>
    <row r="746" spans="1:15" x14ac:dyDescent="0.2">
      <c r="A746" t="s">
        <v>1539</v>
      </c>
      <c r="B746" t="s">
        <v>1539</v>
      </c>
      <c r="C746" t="s">
        <v>1590</v>
      </c>
      <c r="D746" t="s">
        <v>1582</v>
      </c>
      <c r="E746" t="b">
        <f t="shared" si="16"/>
        <v>1</v>
      </c>
      <c r="F746" t="str">
        <f t="shared" si="17"/>
        <v>OK</v>
      </c>
      <c r="G746" t="s">
        <v>30</v>
      </c>
      <c r="H746" s="1">
        <v>0.01</v>
      </c>
      <c r="I746" t="s">
        <v>1587</v>
      </c>
      <c r="J746" t="s">
        <v>1588</v>
      </c>
      <c r="K746" t="s">
        <v>33</v>
      </c>
      <c r="L746" t="s">
        <v>55</v>
      </c>
      <c r="M746" t="s">
        <v>1233</v>
      </c>
      <c r="N746" t="s">
        <v>55</v>
      </c>
      <c r="O746" t="s">
        <v>135</v>
      </c>
    </row>
    <row r="747" spans="1:15" x14ac:dyDescent="0.2">
      <c r="A747" t="s">
        <v>1539</v>
      </c>
      <c r="B747" t="s">
        <v>1539</v>
      </c>
      <c r="C747" t="s">
        <v>1591</v>
      </c>
      <c r="D747" t="s">
        <v>1592</v>
      </c>
      <c r="E747" t="b">
        <f t="shared" si="16"/>
        <v>0</v>
      </c>
      <c r="F747" t="str">
        <f t="shared" si="17"/>
        <v>OK</v>
      </c>
      <c r="G747" t="s">
        <v>30</v>
      </c>
      <c r="H747" s="1">
        <v>0.01</v>
      </c>
      <c r="I747" t="s">
        <v>1593</v>
      </c>
      <c r="J747" t="s">
        <v>1594</v>
      </c>
      <c r="K747" t="s">
        <v>33</v>
      </c>
      <c r="L747" t="s">
        <v>55</v>
      </c>
      <c r="M747" t="s">
        <v>541</v>
      </c>
      <c r="N747" t="s">
        <v>55</v>
      </c>
      <c r="O747" t="s">
        <v>541</v>
      </c>
    </row>
    <row r="748" spans="1:15" x14ac:dyDescent="0.2">
      <c r="A748" t="s">
        <v>1539</v>
      </c>
      <c r="B748" t="s">
        <v>1539</v>
      </c>
      <c r="C748" t="s">
        <v>1595</v>
      </c>
      <c r="D748" t="s">
        <v>1592</v>
      </c>
      <c r="E748" t="b">
        <f t="shared" si="16"/>
        <v>0</v>
      </c>
      <c r="F748" t="str">
        <f t="shared" si="17"/>
        <v>OK</v>
      </c>
      <c r="G748" t="s">
        <v>30</v>
      </c>
      <c r="H748" s="1">
        <v>0.01</v>
      </c>
      <c r="I748" t="s">
        <v>916</v>
      </c>
      <c r="J748" t="s">
        <v>1596</v>
      </c>
      <c r="K748" t="s">
        <v>33</v>
      </c>
      <c r="L748" t="s">
        <v>55</v>
      </c>
      <c r="M748" t="s">
        <v>541</v>
      </c>
      <c r="N748" t="s">
        <v>55</v>
      </c>
      <c r="O748" t="s">
        <v>541</v>
      </c>
    </row>
    <row r="749" spans="1:15" x14ac:dyDescent="0.2">
      <c r="A749" t="s">
        <v>1539</v>
      </c>
      <c r="B749" t="s">
        <v>1539</v>
      </c>
      <c r="C749" t="s">
        <v>1597</v>
      </c>
      <c r="D749" t="s">
        <v>1598</v>
      </c>
      <c r="E749" t="b">
        <f t="shared" si="16"/>
        <v>1</v>
      </c>
      <c r="F749" t="str">
        <f t="shared" si="17"/>
        <v>OK</v>
      </c>
      <c r="G749" t="s">
        <v>30</v>
      </c>
      <c r="H749" s="1">
        <v>0.01</v>
      </c>
      <c r="I749" t="s">
        <v>1575</v>
      </c>
      <c r="J749" t="s">
        <v>1596</v>
      </c>
      <c r="K749" t="s">
        <v>1233</v>
      </c>
      <c r="L749" t="s">
        <v>55</v>
      </c>
      <c r="M749" t="s">
        <v>1233</v>
      </c>
      <c r="N749" t="s">
        <v>55</v>
      </c>
      <c r="O749" t="s">
        <v>135</v>
      </c>
    </row>
    <row r="750" spans="1:15" x14ac:dyDescent="0.2">
      <c r="A750" t="s">
        <v>1539</v>
      </c>
      <c r="B750" t="s">
        <v>1539</v>
      </c>
      <c r="C750" t="s">
        <v>1599</v>
      </c>
      <c r="D750" t="s">
        <v>1598</v>
      </c>
      <c r="E750" t="b">
        <f t="shared" si="16"/>
        <v>1</v>
      </c>
      <c r="F750" t="str">
        <f t="shared" si="17"/>
        <v>OK</v>
      </c>
      <c r="G750" t="s">
        <v>30</v>
      </c>
      <c r="H750" s="1">
        <v>0.01</v>
      </c>
      <c r="I750" t="s">
        <v>1575</v>
      </c>
      <c r="J750" t="s">
        <v>1596</v>
      </c>
      <c r="K750" t="s">
        <v>1233</v>
      </c>
      <c r="L750" t="s">
        <v>55</v>
      </c>
      <c r="M750" t="s">
        <v>1233</v>
      </c>
      <c r="N750" t="s">
        <v>55</v>
      </c>
      <c r="O750" t="s">
        <v>135</v>
      </c>
    </row>
    <row r="751" spans="1:15" x14ac:dyDescent="0.2">
      <c r="A751" t="s">
        <v>1539</v>
      </c>
      <c r="B751" t="s">
        <v>1539</v>
      </c>
      <c r="C751" t="s">
        <v>1600</v>
      </c>
      <c r="D751" t="s">
        <v>1598</v>
      </c>
      <c r="E751" t="b">
        <f t="shared" si="16"/>
        <v>1</v>
      </c>
      <c r="F751" t="str">
        <f t="shared" si="17"/>
        <v>OK</v>
      </c>
      <c r="G751" t="s">
        <v>30</v>
      </c>
      <c r="H751" s="1">
        <v>0.01</v>
      </c>
      <c r="I751" t="s">
        <v>1575</v>
      </c>
      <c r="J751" t="s">
        <v>1601</v>
      </c>
      <c r="K751" t="s">
        <v>1233</v>
      </c>
      <c r="L751" t="s">
        <v>55</v>
      </c>
      <c r="M751" t="s">
        <v>1233</v>
      </c>
      <c r="N751" t="s">
        <v>55</v>
      </c>
      <c r="O751" t="s">
        <v>135</v>
      </c>
    </row>
    <row r="752" spans="1:15" x14ac:dyDescent="0.2">
      <c r="A752" t="s">
        <v>1539</v>
      </c>
      <c r="B752" t="s">
        <v>1539</v>
      </c>
      <c r="C752" t="s">
        <v>1602</v>
      </c>
      <c r="D752" t="s">
        <v>1598</v>
      </c>
      <c r="E752" t="b">
        <f t="shared" si="16"/>
        <v>1</v>
      </c>
      <c r="F752" t="str">
        <f t="shared" si="17"/>
        <v>OK</v>
      </c>
      <c r="G752" t="s">
        <v>30</v>
      </c>
      <c r="H752" s="1">
        <v>0.01</v>
      </c>
      <c r="I752" t="s">
        <v>1579</v>
      </c>
      <c r="J752" t="s">
        <v>1596</v>
      </c>
      <c r="K752" t="s">
        <v>1233</v>
      </c>
      <c r="L752" t="s">
        <v>55</v>
      </c>
      <c r="M752" t="s">
        <v>1233</v>
      </c>
      <c r="N752" t="s">
        <v>55</v>
      </c>
      <c r="O752" t="s">
        <v>135</v>
      </c>
    </row>
    <row r="753" spans="1:15" x14ac:dyDescent="0.2">
      <c r="A753" t="s">
        <v>1539</v>
      </c>
      <c r="B753" t="s">
        <v>1539</v>
      </c>
      <c r="C753" t="s">
        <v>1603</v>
      </c>
      <c r="D753" t="s">
        <v>1598</v>
      </c>
      <c r="E753" t="b">
        <f t="shared" si="16"/>
        <v>1</v>
      </c>
      <c r="F753" t="str">
        <f t="shared" si="17"/>
        <v>OK</v>
      </c>
      <c r="G753" t="s">
        <v>30</v>
      </c>
      <c r="H753" s="1">
        <v>0.01</v>
      </c>
      <c r="I753" t="s">
        <v>1575</v>
      </c>
      <c r="J753" t="s">
        <v>1596</v>
      </c>
      <c r="K753" t="s">
        <v>1233</v>
      </c>
      <c r="L753" t="s">
        <v>55</v>
      </c>
      <c r="M753" t="s">
        <v>1233</v>
      </c>
      <c r="N753" t="s">
        <v>55</v>
      </c>
      <c r="O753" t="s">
        <v>135</v>
      </c>
    </row>
    <row r="754" spans="1:15" x14ac:dyDescent="0.2">
      <c r="A754" t="s">
        <v>1539</v>
      </c>
      <c r="B754" t="s">
        <v>1539</v>
      </c>
      <c r="C754" t="s">
        <v>1604</v>
      </c>
      <c r="D754" t="s">
        <v>1598</v>
      </c>
      <c r="E754" t="b">
        <f t="shared" si="16"/>
        <v>1</v>
      </c>
      <c r="F754" t="str">
        <f t="shared" si="17"/>
        <v>OK</v>
      </c>
      <c r="G754" t="s">
        <v>30</v>
      </c>
      <c r="H754" s="1">
        <v>0.01</v>
      </c>
      <c r="I754" t="s">
        <v>1575</v>
      </c>
      <c r="J754" t="s">
        <v>1596</v>
      </c>
      <c r="K754" t="s">
        <v>1233</v>
      </c>
      <c r="L754" t="s">
        <v>55</v>
      </c>
      <c r="M754" t="s">
        <v>1233</v>
      </c>
      <c r="N754" t="s">
        <v>55</v>
      </c>
      <c r="O754" t="s">
        <v>135</v>
      </c>
    </row>
    <row r="755" spans="1:15" x14ac:dyDescent="0.2">
      <c r="A755" t="s">
        <v>1539</v>
      </c>
      <c r="B755" t="s">
        <v>1539</v>
      </c>
      <c r="C755" t="s">
        <v>1605</v>
      </c>
      <c r="D755" t="s">
        <v>1598</v>
      </c>
      <c r="E755" t="b">
        <f t="shared" si="16"/>
        <v>1</v>
      </c>
      <c r="F755" t="str">
        <f t="shared" si="17"/>
        <v>OK</v>
      </c>
      <c r="G755" t="s">
        <v>30</v>
      </c>
      <c r="H755" s="1">
        <v>0.01</v>
      </c>
      <c r="I755" t="s">
        <v>1575</v>
      </c>
      <c r="J755" t="s">
        <v>1580</v>
      </c>
      <c r="K755" t="s">
        <v>1233</v>
      </c>
      <c r="L755" t="s">
        <v>55</v>
      </c>
      <c r="M755" t="s">
        <v>1233</v>
      </c>
      <c r="N755" t="s">
        <v>55</v>
      </c>
      <c r="O755" t="s">
        <v>135</v>
      </c>
    </row>
    <row r="756" spans="1:15" x14ac:dyDescent="0.2">
      <c r="A756" t="s">
        <v>1539</v>
      </c>
      <c r="B756" t="s">
        <v>1539</v>
      </c>
      <c r="C756" t="s">
        <v>1606</v>
      </c>
      <c r="D756" t="s">
        <v>1598</v>
      </c>
      <c r="E756" t="b">
        <f t="shared" si="16"/>
        <v>1</v>
      </c>
      <c r="F756" t="str">
        <f t="shared" si="17"/>
        <v>OK</v>
      </c>
      <c r="G756" t="s">
        <v>30</v>
      </c>
      <c r="H756" s="1">
        <v>0.01</v>
      </c>
      <c r="I756" t="s">
        <v>1575</v>
      </c>
      <c r="J756" t="s">
        <v>1580</v>
      </c>
      <c r="K756" t="s">
        <v>1233</v>
      </c>
      <c r="L756" t="s">
        <v>55</v>
      </c>
      <c r="M756" t="s">
        <v>1233</v>
      </c>
      <c r="N756" t="s">
        <v>55</v>
      </c>
      <c r="O756" t="s">
        <v>135</v>
      </c>
    </row>
    <row r="757" spans="1:15" x14ac:dyDescent="0.2">
      <c r="A757" t="s">
        <v>1539</v>
      </c>
      <c r="B757" t="s">
        <v>1539</v>
      </c>
      <c r="C757" t="s">
        <v>1607</v>
      </c>
      <c r="D757" t="s">
        <v>1608</v>
      </c>
      <c r="E757" t="b">
        <f t="shared" si="16"/>
        <v>1</v>
      </c>
      <c r="F757" t="str">
        <f t="shared" si="17"/>
        <v>OK</v>
      </c>
      <c r="G757" t="s">
        <v>30</v>
      </c>
      <c r="H757" s="1">
        <v>0.01</v>
      </c>
      <c r="I757" t="s">
        <v>1558</v>
      </c>
      <c r="J757" t="s">
        <v>48</v>
      </c>
      <c r="K757" t="s">
        <v>1233</v>
      </c>
      <c r="L757" t="s">
        <v>55</v>
      </c>
      <c r="M757" t="s">
        <v>1233</v>
      </c>
      <c r="N757" t="s">
        <v>55</v>
      </c>
      <c r="O757" t="s">
        <v>135</v>
      </c>
    </row>
    <row r="758" spans="1:15" x14ac:dyDescent="0.2">
      <c r="A758" t="s">
        <v>1539</v>
      </c>
      <c r="B758" t="s">
        <v>1539</v>
      </c>
      <c r="C758" t="s">
        <v>1609</v>
      </c>
      <c r="D758" t="s">
        <v>1608</v>
      </c>
      <c r="E758" t="b">
        <f t="shared" si="16"/>
        <v>1</v>
      </c>
      <c r="F758" t="str">
        <f t="shared" si="17"/>
        <v>OK</v>
      </c>
      <c r="G758" t="s">
        <v>30</v>
      </c>
      <c r="H758" s="1">
        <v>0.01</v>
      </c>
      <c r="I758" t="s">
        <v>1558</v>
      </c>
      <c r="J758" t="s">
        <v>48</v>
      </c>
      <c r="K758" t="s">
        <v>1233</v>
      </c>
      <c r="L758" t="s">
        <v>55</v>
      </c>
      <c r="M758" t="s">
        <v>1233</v>
      </c>
      <c r="N758" t="s">
        <v>55</v>
      </c>
      <c r="O758" t="s">
        <v>135</v>
      </c>
    </row>
    <row r="759" spans="1:15" x14ac:dyDescent="0.2">
      <c r="A759" t="s">
        <v>1539</v>
      </c>
      <c r="B759" t="s">
        <v>1539</v>
      </c>
      <c r="C759" t="s">
        <v>1610</v>
      </c>
      <c r="D759" t="s">
        <v>1608</v>
      </c>
      <c r="E759" t="b">
        <f t="shared" si="16"/>
        <v>1</v>
      </c>
      <c r="F759" t="str">
        <f t="shared" si="17"/>
        <v>OK</v>
      </c>
      <c r="G759" t="s">
        <v>30</v>
      </c>
      <c r="H759" s="1">
        <v>0.01</v>
      </c>
      <c r="I759" t="s">
        <v>1558</v>
      </c>
      <c r="J759" t="s">
        <v>48</v>
      </c>
      <c r="K759" t="s">
        <v>1233</v>
      </c>
      <c r="L759" t="s">
        <v>55</v>
      </c>
      <c r="M759" t="s">
        <v>1233</v>
      </c>
      <c r="N759" t="s">
        <v>55</v>
      </c>
      <c r="O759" t="s">
        <v>135</v>
      </c>
    </row>
    <row r="760" spans="1:15" x14ac:dyDescent="0.2">
      <c r="A760" t="s">
        <v>1539</v>
      </c>
      <c r="B760" t="s">
        <v>1539</v>
      </c>
      <c r="C760" t="s">
        <v>1611</v>
      </c>
      <c r="D760" t="s">
        <v>1598</v>
      </c>
      <c r="E760" t="b">
        <f t="shared" si="16"/>
        <v>1</v>
      </c>
      <c r="F760" t="str">
        <f t="shared" si="17"/>
        <v>OK</v>
      </c>
      <c r="G760" t="s">
        <v>30</v>
      </c>
      <c r="H760" s="1">
        <v>0.05</v>
      </c>
      <c r="I760" t="s">
        <v>1558</v>
      </c>
      <c r="J760" t="s">
        <v>48</v>
      </c>
      <c r="K760" t="s">
        <v>1233</v>
      </c>
      <c r="L760" t="s">
        <v>55</v>
      </c>
      <c r="M760" t="s">
        <v>1233</v>
      </c>
      <c r="N760" t="s">
        <v>55</v>
      </c>
      <c r="O760" t="s">
        <v>135</v>
      </c>
    </row>
    <row r="761" spans="1:15" x14ac:dyDescent="0.2">
      <c r="A761" t="s">
        <v>1539</v>
      </c>
      <c r="B761" t="s">
        <v>1539</v>
      </c>
      <c r="C761" t="s">
        <v>1612</v>
      </c>
      <c r="D761" t="s">
        <v>1613</v>
      </c>
      <c r="E761" t="b">
        <f t="shared" si="16"/>
        <v>1</v>
      </c>
      <c r="F761" t="str">
        <f t="shared" si="17"/>
        <v>OK</v>
      </c>
      <c r="G761" t="s">
        <v>30</v>
      </c>
      <c r="H761" s="1">
        <v>0.01</v>
      </c>
      <c r="I761" t="s">
        <v>1614</v>
      </c>
      <c r="J761" t="s">
        <v>1596</v>
      </c>
      <c r="K761" t="s">
        <v>1233</v>
      </c>
      <c r="L761" t="s">
        <v>55</v>
      </c>
      <c r="M761" t="s">
        <v>1233</v>
      </c>
      <c r="N761" t="s">
        <v>55</v>
      </c>
      <c r="O761" t="s">
        <v>135</v>
      </c>
    </row>
    <row r="762" spans="1:15" x14ac:dyDescent="0.2">
      <c r="A762" t="s">
        <v>1539</v>
      </c>
      <c r="B762" t="s">
        <v>1539</v>
      </c>
      <c r="C762" t="s">
        <v>1615</v>
      </c>
      <c r="D762" t="s">
        <v>1613</v>
      </c>
      <c r="E762" t="b">
        <f t="shared" si="16"/>
        <v>1</v>
      </c>
      <c r="F762" t="str">
        <f t="shared" si="17"/>
        <v>OK</v>
      </c>
      <c r="G762" t="s">
        <v>30</v>
      </c>
      <c r="H762" s="1">
        <v>0.01</v>
      </c>
      <c r="I762" t="s">
        <v>1614</v>
      </c>
      <c r="J762" t="s">
        <v>1596</v>
      </c>
      <c r="K762" t="s">
        <v>1233</v>
      </c>
      <c r="L762" t="s">
        <v>55</v>
      </c>
      <c r="M762" t="s">
        <v>1233</v>
      </c>
      <c r="N762" t="s">
        <v>55</v>
      </c>
      <c r="O762" t="s">
        <v>135</v>
      </c>
    </row>
    <row r="763" spans="1:15" x14ac:dyDescent="0.2">
      <c r="A763" t="s">
        <v>1539</v>
      </c>
      <c r="B763" t="s">
        <v>1539</v>
      </c>
      <c r="C763" t="s">
        <v>1616</v>
      </c>
      <c r="D763" t="s">
        <v>1613</v>
      </c>
      <c r="E763" t="b">
        <f t="shared" si="16"/>
        <v>1</v>
      </c>
      <c r="F763" t="str">
        <f t="shared" si="17"/>
        <v>OK</v>
      </c>
      <c r="G763" t="s">
        <v>30</v>
      </c>
      <c r="H763" s="1">
        <v>0.01</v>
      </c>
      <c r="I763" t="s">
        <v>1614</v>
      </c>
      <c r="J763" t="s">
        <v>1580</v>
      </c>
      <c r="K763" t="s">
        <v>1233</v>
      </c>
      <c r="L763" t="s">
        <v>55</v>
      </c>
      <c r="M763" t="s">
        <v>1233</v>
      </c>
      <c r="N763" t="s">
        <v>55</v>
      </c>
      <c r="O763" t="s">
        <v>135</v>
      </c>
    </row>
    <row r="764" spans="1:15" x14ac:dyDescent="0.2">
      <c r="A764" t="s">
        <v>1539</v>
      </c>
      <c r="B764" t="s">
        <v>1539</v>
      </c>
      <c r="C764" t="s">
        <v>1617</v>
      </c>
      <c r="D764" t="s">
        <v>1613</v>
      </c>
      <c r="E764" t="b">
        <f t="shared" si="16"/>
        <v>1</v>
      </c>
      <c r="F764" t="str">
        <f t="shared" si="17"/>
        <v>OK</v>
      </c>
      <c r="G764" t="s">
        <v>30</v>
      </c>
      <c r="H764" s="1">
        <v>0.01</v>
      </c>
      <c r="I764" t="s">
        <v>1614</v>
      </c>
      <c r="J764" t="s">
        <v>1580</v>
      </c>
      <c r="K764" t="s">
        <v>1233</v>
      </c>
      <c r="L764" t="s">
        <v>55</v>
      </c>
      <c r="M764" t="s">
        <v>1233</v>
      </c>
      <c r="N764" t="s">
        <v>55</v>
      </c>
      <c r="O764" t="s">
        <v>135</v>
      </c>
    </row>
    <row r="765" spans="1:15" x14ac:dyDescent="0.2">
      <c r="A765" t="s">
        <v>1539</v>
      </c>
      <c r="B765" t="s">
        <v>1539</v>
      </c>
      <c r="C765" t="s">
        <v>1618</v>
      </c>
      <c r="D765" t="s">
        <v>1613</v>
      </c>
      <c r="E765" t="b">
        <f t="shared" si="16"/>
        <v>1</v>
      </c>
      <c r="F765" t="str">
        <f t="shared" si="17"/>
        <v>OK</v>
      </c>
      <c r="G765" t="s">
        <v>30</v>
      </c>
      <c r="H765" s="1">
        <v>0.01</v>
      </c>
      <c r="I765" t="s">
        <v>1614</v>
      </c>
      <c r="J765" t="s">
        <v>1580</v>
      </c>
      <c r="K765" t="s">
        <v>1233</v>
      </c>
      <c r="L765" t="s">
        <v>55</v>
      </c>
      <c r="M765" t="s">
        <v>1233</v>
      </c>
      <c r="N765" t="s">
        <v>55</v>
      </c>
      <c r="O765" t="s">
        <v>135</v>
      </c>
    </row>
    <row r="766" spans="1:15" x14ac:dyDescent="0.2">
      <c r="A766" t="s">
        <v>1539</v>
      </c>
      <c r="B766" t="s">
        <v>1539</v>
      </c>
      <c r="C766" t="s">
        <v>1619</v>
      </c>
      <c r="D766" t="s">
        <v>1613</v>
      </c>
      <c r="E766" t="b">
        <f t="shared" si="16"/>
        <v>1</v>
      </c>
      <c r="F766" t="str">
        <f t="shared" si="17"/>
        <v>OK</v>
      </c>
      <c r="G766" t="s">
        <v>30</v>
      </c>
      <c r="H766" s="1">
        <v>0.01</v>
      </c>
      <c r="I766" t="s">
        <v>1614</v>
      </c>
      <c r="J766" t="s">
        <v>1580</v>
      </c>
      <c r="K766" t="s">
        <v>1233</v>
      </c>
      <c r="L766" t="s">
        <v>55</v>
      </c>
      <c r="M766" t="s">
        <v>1233</v>
      </c>
      <c r="N766" t="s">
        <v>55</v>
      </c>
      <c r="O766" t="s">
        <v>135</v>
      </c>
    </row>
    <row r="767" spans="1:15" x14ac:dyDescent="0.2">
      <c r="A767" t="s">
        <v>1539</v>
      </c>
      <c r="B767" t="s">
        <v>1539</v>
      </c>
      <c r="C767" t="s">
        <v>1620</v>
      </c>
      <c r="D767" t="s">
        <v>1621</v>
      </c>
      <c r="E767" t="b">
        <f t="shared" si="16"/>
        <v>1</v>
      </c>
      <c r="F767" t="str">
        <f t="shared" si="17"/>
        <v>OK</v>
      </c>
      <c r="G767" t="s">
        <v>30</v>
      </c>
      <c r="H767" s="1">
        <v>0.01</v>
      </c>
      <c r="I767" t="s">
        <v>1572</v>
      </c>
      <c r="J767" t="s">
        <v>48</v>
      </c>
      <c r="K767" t="s">
        <v>1233</v>
      </c>
      <c r="L767" t="s">
        <v>55</v>
      </c>
      <c r="M767" t="s">
        <v>1233</v>
      </c>
      <c r="N767" t="s">
        <v>55</v>
      </c>
      <c r="O767" t="s">
        <v>135</v>
      </c>
    </row>
    <row r="768" spans="1:15" x14ac:dyDescent="0.2">
      <c r="A768" t="s">
        <v>1539</v>
      </c>
      <c r="B768" t="s">
        <v>1539</v>
      </c>
      <c r="C768" t="s">
        <v>1622</v>
      </c>
      <c r="D768" t="s">
        <v>1621</v>
      </c>
      <c r="E768" t="b">
        <f t="shared" si="16"/>
        <v>1</v>
      </c>
      <c r="F768" t="str">
        <f t="shared" si="17"/>
        <v>OK</v>
      </c>
      <c r="G768" t="s">
        <v>30</v>
      </c>
      <c r="H768" s="1">
        <v>0.01</v>
      </c>
      <c r="I768" t="s">
        <v>1572</v>
      </c>
      <c r="J768" t="s">
        <v>48</v>
      </c>
      <c r="K768" t="s">
        <v>1233</v>
      </c>
      <c r="L768" t="s">
        <v>55</v>
      </c>
      <c r="M768" t="s">
        <v>1233</v>
      </c>
      <c r="N768" t="s">
        <v>55</v>
      </c>
      <c r="O768" t="s">
        <v>135</v>
      </c>
    </row>
    <row r="769" spans="1:15" x14ac:dyDescent="0.2">
      <c r="A769" t="s">
        <v>1539</v>
      </c>
      <c r="B769" t="s">
        <v>1539</v>
      </c>
      <c r="C769" t="s">
        <v>1623</v>
      </c>
      <c r="D769" t="s">
        <v>1621</v>
      </c>
      <c r="E769" t="b">
        <f t="shared" si="16"/>
        <v>1</v>
      </c>
      <c r="F769" t="str">
        <f t="shared" si="17"/>
        <v>OK</v>
      </c>
      <c r="G769" t="s">
        <v>30</v>
      </c>
      <c r="H769" s="1">
        <v>0.01</v>
      </c>
      <c r="I769" t="s">
        <v>1572</v>
      </c>
      <c r="J769" t="s">
        <v>48</v>
      </c>
      <c r="K769" t="s">
        <v>1233</v>
      </c>
      <c r="L769" t="s">
        <v>55</v>
      </c>
      <c r="M769" t="s">
        <v>1233</v>
      </c>
      <c r="N769" t="s">
        <v>55</v>
      </c>
      <c r="O769" t="s">
        <v>135</v>
      </c>
    </row>
    <row r="770" spans="1:15" x14ac:dyDescent="0.2">
      <c r="A770" t="s">
        <v>1539</v>
      </c>
      <c r="B770" t="s">
        <v>1539</v>
      </c>
      <c r="C770" t="s">
        <v>1624</v>
      </c>
      <c r="D770" t="s">
        <v>1621</v>
      </c>
      <c r="E770" t="b">
        <f t="shared" si="16"/>
        <v>1</v>
      </c>
      <c r="F770" t="str">
        <f t="shared" si="17"/>
        <v>OK</v>
      </c>
      <c r="G770" t="s">
        <v>30</v>
      </c>
      <c r="H770" s="1">
        <v>0.01</v>
      </c>
      <c r="I770" t="s">
        <v>1572</v>
      </c>
      <c r="J770" t="s">
        <v>48</v>
      </c>
      <c r="K770" t="s">
        <v>1233</v>
      </c>
      <c r="L770" t="s">
        <v>55</v>
      </c>
      <c r="M770" t="s">
        <v>1233</v>
      </c>
      <c r="N770" t="s">
        <v>55</v>
      </c>
      <c r="O770" t="s">
        <v>135</v>
      </c>
    </row>
    <row r="771" spans="1:15" x14ac:dyDescent="0.2">
      <c r="A771" t="s">
        <v>1539</v>
      </c>
      <c r="B771" t="s">
        <v>1539</v>
      </c>
      <c r="C771" t="s">
        <v>1625</v>
      </c>
      <c r="D771" t="s">
        <v>1621</v>
      </c>
      <c r="E771" t="b">
        <f t="shared" si="16"/>
        <v>1</v>
      </c>
      <c r="F771" t="str">
        <f t="shared" si="17"/>
        <v>OK</v>
      </c>
      <c r="G771" t="s">
        <v>30</v>
      </c>
      <c r="H771" s="1">
        <v>0.01</v>
      </c>
      <c r="I771" t="s">
        <v>1572</v>
      </c>
      <c r="J771" t="s">
        <v>48</v>
      </c>
      <c r="K771" t="s">
        <v>1233</v>
      </c>
      <c r="L771" t="s">
        <v>55</v>
      </c>
      <c r="M771" t="s">
        <v>1233</v>
      </c>
      <c r="N771" t="s">
        <v>55</v>
      </c>
      <c r="O771" t="s">
        <v>135</v>
      </c>
    </row>
  </sheetData>
  <sortState xmlns:xlrd2="http://schemas.microsoft.com/office/spreadsheetml/2017/richdata2" ref="R1:R771">
    <sortCondition ref="R1:R771"/>
  </sortState>
  <conditionalFormatting sqref="E2:F771">
    <cfRule type="containsText" dxfId="3" priority="3" operator="containsText" text="TRUE">
      <formula>NOT(ISERROR(SEARCH("TRUE",E2)))</formula>
    </cfRule>
    <cfRule type="containsText" dxfId="2" priority="4" operator="containsText" text="FALSE">
      <formula>NOT(ISERROR(SEARCH("FALSE",E2)))</formula>
    </cfRule>
  </conditionalFormatting>
  <conditionalFormatting sqref="S2:S389">
    <cfRule type="containsText" dxfId="1" priority="1" operator="containsText" text="TRUE">
      <formula>NOT(ISERROR(SEARCH("TRUE",S2)))</formula>
    </cfRule>
    <cfRule type="containsText" dxfId="0" priority="2" operator="containsText" text="FALSE">
      <formula>NOT(ISERROR(SEARCH("FALSE",S2)))</formula>
    </cfRule>
  </conditionalFormatting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2022_manuf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Heeney</cp:lastModifiedBy>
  <dcterms:created xsi:type="dcterms:W3CDTF">2025-08-16T09:15:34Z</dcterms:created>
  <dcterms:modified xsi:type="dcterms:W3CDTF">2025-08-17T14:18:52Z</dcterms:modified>
</cp:coreProperties>
</file>